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738B42B8-FCAE-4A29-A620-1DFE0EE88F21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İcmal!$A$19:$M$49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İcmal!$A$1:$L$51</definedName>
    <definedName name="_xlnm.Print_Area" localSheetId="2">Metraj!$A$2:$Q$349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317" i="6"/>
  <c r="AA268" i="6"/>
  <c r="AE268" i="6" s="1"/>
  <c r="AA259" i="6"/>
  <c r="AC259" i="6" s="1"/>
  <c r="AA209" i="6"/>
  <c r="AA201" i="6"/>
  <c r="AE201" i="6" s="1"/>
  <c r="AA191" i="6"/>
  <c r="AE191" i="6" s="1"/>
  <c r="AA183" i="6"/>
  <c r="AE183" i="6" s="1"/>
  <c r="AA99" i="6"/>
  <c r="AE99" i="6" s="1"/>
  <c r="AA17" i="6"/>
  <c r="AE17" i="6" s="1"/>
  <c r="C16" i="2"/>
  <c r="C15" i="2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O328" i="6"/>
  <c r="O327" i="6"/>
  <c r="O326" i="6"/>
  <c r="O325" i="6"/>
  <c r="M121" i="6"/>
  <c r="P121" i="6" s="1"/>
  <c r="P197" i="6"/>
  <c r="P119" i="6"/>
  <c r="M326" i="6"/>
  <c r="M327" i="6"/>
  <c r="M328" i="6"/>
  <c r="M325" i="6"/>
  <c r="M321" i="6"/>
  <c r="M322" i="6"/>
  <c r="M320" i="6"/>
  <c r="AC317" i="6" l="1"/>
  <c r="AE317" i="6"/>
  <c r="AC268" i="6"/>
  <c r="AE259" i="6"/>
  <c r="AC209" i="6"/>
  <c r="AE209" i="6"/>
  <c r="AC201" i="6"/>
  <c r="AC191" i="6"/>
  <c r="AC183" i="6"/>
  <c r="AC99" i="6"/>
  <c r="AC17" i="6"/>
  <c r="AC2" i="6" s="1"/>
  <c r="O321" i="6"/>
  <c r="O322" i="6"/>
  <c r="O320" i="6"/>
  <c r="P20" i="6"/>
  <c r="P21" i="6" l="1"/>
  <c r="P22" i="6"/>
  <c r="P23" i="6"/>
  <c r="P24" i="6"/>
  <c r="P25" i="6"/>
  <c r="L286" i="6" l="1"/>
  <c r="P286" i="6" s="1"/>
  <c r="L285" i="6"/>
  <c r="P285" i="6" s="1"/>
  <c r="L284" i="6"/>
  <c r="P284" i="6" s="1"/>
  <c r="L283" i="6"/>
  <c r="P283" i="6" s="1"/>
  <c r="L280" i="6"/>
  <c r="P280" i="6" s="1"/>
  <c r="L278" i="6"/>
  <c r="P278" i="6" s="1"/>
  <c r="L276" i="6"/>
  <c r="P276" i="6" s="1"/>
  <c r="P297" i="6"/>
  <c r="P296" i="6"/>
  <c r="P295" i="6"/>
  <c r="P294" i="6"/>
  <c r="P293" i="6"/>
  <c r="P292" i="6"/>
  <c r="P291" i="6"/>
  <c r="P290" i="6"/>
  <c r="P289" i="6"/>
  <c r="M317" i="6"/>
  <c r="D317" i="6"/>
  <c r="M268" i="6"/>
  <c r="D268" i="6"/>
  <c r="M259" i="6"/>
  <c r="D259" i="6"/>
  <c r="M209" i="6"/>
  <c r="D209" i="6"/>
  <c r="M201" i="6"/>
  <c r="D201" i="6"/>
  <c r="M191" i="6"/>
  <c r="D191" i="6"/>
  <c r="M183" i="6"/>
  <c r="D183" i="6"/>
  <c r="M99" i="6"/>
  <c r="D99" i="6"/>
  <c r="M17" i="6"/>
  <c r="D17" i="6"/>
  <c r="P148" i="6" l="1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02" i="6"/>
  <c r="P120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65" i="6" l="1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32" i="6"/>
  <c r="P26" i="6"/>
  <c r="P38" i="6"/>
  <c r="P27" i="6"/>
  <c r="P28" i="6"/>
  <c r="P29" i="6"/>
  <c r="P30" i="6"/>
  <c r="P31" i="6"/>
  <c r="P33" i="6"/>
  <c r="P34" i="6"/>
  <c r="P35" i="6"/>
  <c r="P36" i="6"/>
  <c r="P37" i="6"/>
  <c r="P328" i="6" l="1"/>
  <c r="P196" i="6"/>
  <c r="P179" i="6" l="1"/>
  <c r="P342" i="6" l="1"/>
  <c r="P341" i="6" l="1"/>
  <c r="P340" i="6"/>
  <c r="P339" i="6"/>
  <c r="P327" i="6"/>
  <c r="P322" i="6"/>
  <c r="P313" i="6"/>
  <c r="P312" i="6"/>
  <c r="P311" i="6"/>
  <c r="L279" i="6"/>
  <c r="P279" i="6" s="1"/>
  <c r="L272" i="6"/>
  <c r="L271" i="6"/>
  <c r="P271" i="6" s="1"/>
  <c r="P262" i="6"/>
  <c r="P205" i="6"/>
  <c r="P195" i="6"/>
  <c r="P187" i="6"/>
  <c r="P178" i="6"/>
  <c r="P177" i="6"/>
  <c r="M176" i="6"/>
  <c r="P176" i="6" s="1"/>
  <c r="M175" i="6"/>
  <c r="P175" i="6" s="1"/>
  <c r="M174" i="6"/>
  <c r="P174" i="6" s="1"/>
  <c r="M173" i="6"/>
  <c r="P173" i="6" s="1"/>
  <c r="M172" i="6"/>
  <c r="P172" i="6" s="1"/>
  <c r="M171" i="6"/>
  <c r="P171" i="6" s="1"/>
  <c r="M170" i="6"/>
  <c r="P170" i="6" s="1"/>
  <c r="M169" i="6"/>
  <c r="P169" i="6" s="1"/>
  <c r="P94" i="6" l="1"/>
  <c r="M93" i="6"/>
  <c r="P93" i="6" s="1"/>
  <c r="P95" i="6"/>
  <c r="M92" i="6"/>
  <c r="P92" i="6" s="1"/>
  <c r="M91" i="6"/>
  <c r="P91" i="6" s="1"/>
  <c r="M90" i="6"/>
  <c r="P90" i="6" s="1"/>
  <c r="M89" i="6"/>
  <c r="P89" i="6" s="1"/>
  <c r="M88" i="6"/>
  <c r="P88" i="6" s="1"/>
  <c r="M87" i="6"/>
  <c r="P87" i="6" s="1"/>
  <c r="M86" i="6"/>
  <c r="P86" i="6" s="1"/>
  <c r="P333" i="6"/>
  <c r="P309" i="6"/>
  <c r="P193" i="6"/>
  <c r="P185" i="6"/>
  <c r="M168" i="6"/>
  <c r="P168" i="6" s="1"/>
  <c r="M167" i="6"/>
  <c r="P167" i="6" s="1"/>
  <c r="M166" i="6"/>
  <c r="P166" i="6" s="1"/>
  <c r="M165" i="6"/>
  <c r="P165" i="6" s="1"/>
  <c r="M164" i="6"/>
  <c r="P164" i="6" s="1"/>
  <c r="M163" i="6"/>
  <c r="P163" i="6" s="1"/>
  <c r="M162" i="6"/>
  <c r="P162" i="6" s="1"/>
  <c r="M161" i="6"/>
  <c r="P161" i="6" s="1"/>
  <c r="M160" i="6"/>
  <c r="P160" i="6" s="1"/>
  <c r="M159" i="6"/>
  <c r="P159" i="6" s="1"/>
  <c r="M158" i="6"/>
  <c r="P158" i="6" s="1"/>
  <c r="M77" i="6"/>
  <c r="P77" i="6" s="1"/>
  <c r="M334" i="6"/>
  <c r="P334" i="6" s="1"/>
  <c r="M335" i="6"/>
  <c r="P335" i="6" s="1"/>
  <c r="P336" i="6"/>
  <c r="M337" i="6"/>
  <c r="P337" i="6" s="1"/>
  <c r="P332" i="6"/>
  <c r="P325" i="6"/>
  <c r="P320" i="6"/>
  <c r="P306" i="6"/>
  <c r="P307" i="6"/>
  <c r="P308" i="6"/>
  <c r="L277" i="6"/>
  <c r="L275" i="6"/>
  <c r="P275" i="6" s="1"/>
  <c r="L270" i="6"/>
  <c r="P270" i="6" s="1"/>
  <c r="P263" i="6"/>
  <c r="P204" i="6"/>
  <c r="M82" i="6"/>
  <c r="P82" i="6" s="1"/>
  <c r="M83" i="6"/>
  <c r="P83" i="6" s="1"/>
  <c r="M78" i="6"/>
  <c r="P78" i="6" s="1"/>
  <c r="M85" i="6"/>
  <c r="P85" i="6" s="1"/>
  <c r="M84" i="6"/>
  <c r="P84" i="6" s="1"/>
  <c r="M81" i="6"/>
  <c r="P81" i="6" s="1"/>
  <c r="M80" i="6"/>
  <c r="P80" i="6" s="1"/>
  <c r="M79" i="6"/>
  <c r="P79" i="6" s="1"/>
  <c r="M76" i="6"/>
  <c r="P76" i="6" s="1"/>
  <c r="M75" i="6"/>
  <c r="P75" i="6" s="1"/>
  <c r="P305" i="6" l="1"/>
  <c r="M151" i="6"/>
  <c r="P151" i="6" s="1"/>
  <c r="M152" i="6"/>
  <c r="P152" i="6" s="1"/>
  <c r="M153" i="6"/>
  <c r="P153" i="6" s="1"/>
  <c r="M154" i="6"/>
  <c r="P154" i="6" s="1"/>
  <c r="M155" i="6"/>
  <c r="P155" i="6" s="1"/>
  <c r="M156" i="6"/>
  <c r="P156" i="6" s="1"/>
  <c r="M157" i="6"/>
  <c r="P157" i="6" s="1"/>
  <c r="L49" i="2" l="1"/>
  <c r="L48" i="2"/>
  <c r="L44" i="2"/>
  <c r="L43" i="2"/>
  <c r="L42" i="2"/>
  <c r="L41" i="2"/>
  <c r="L40" i="2"/>
  <c r="L39" i="2"/>
  <c r="L38" i="2"/>
  <c r="L37" i="2"/>
  <c r="L36" i="2"/>
  <c r="L35" i="2"/>
  <c r="L32" i="2"/>
  <c r="L29" i="2"/>
  <c r="L28" i="2"/>
  <c r="L26" i="2"/>
  <c r="L25" i="2"/>
  <c r="L24" i="2"/>
  <c r="L22" i="2"/>
  <c r="L21" i="2"/>
  <c r="O302" i="6"/>
  <c r="D302" i="6"/>
  <c r="M331" i="6"/>
  <c r="H62" i="5" l="1"/>
  <c r="K32" i="2"/>
  <c r="H54" i="5"/>
  <c r="K24" i="2"/>
  <c r="H67" i="5"/>
  <c r="K37" i="2"/>
  <c r="H71" i="5"/>
  <c r="K41" i="2"/>
  <c r="H52" i="5"/>
  <c r="K22" i="2"/>
  <c r="H65" i="5"/>
  <c r="K35" i="2"/>
  <c r="H72" i="5"/>
  <c r="K42" i="2"/>
  <c r="H56" i="5"/>
  <c r="K26" i="2"/>
  <c r="H66" i="5"/>
  <c r="K36" i="2"/>
  <c r="H73" i="5"/>
  <c r="K43" i="2"/>
  <c r="H55" i="5"/>
  <c r="K25" i="2"/>
  <c r="H68" i="5"/>
  <c r="K38" i="2"/>
  <c r="H74" i="5"/>
  <c r="K44" i="2"/>
  <c r="H58" i="5"/>
  <c r="K28" i="2"/>
  <c r="H69" i="5"/>
  <c r="K39" i="2"/>
  <c r="H78" i="5"/>
  <c r="K48" i="2"/>
  <c r="H51" i="5"/>
  <c r="K21" i="2"/>
  <c r="H59" i="5"/>
  <c r="K29" i="2"/>
  <c r="H70" i="5"/>
  <c r="K40" i="2"/>
  <c r="H79" i="5"/>
  <c r="K49" i="2"/>
  <c r="P338" i="6"/>
  <c r="P310" i="6"/>
  <c r="P186" i="6"/>
  <c r="P194" i="6"/>
  <c r="P191" i="6" l="1"/>
  <c r="L30" i="2" s="1"/>
  <c r="P183" i="6"/>
  <c r="L27" i="2" s="1"/>
  <c r="Z27" i="2" l="1"/>
  <c r="AA27" i="2" s="1"/>
  <c r="Z30" i="2"/>
  <c r="AA30" i="2" s="1"/>
  <c r="O183" i="6"/>
  <c r="AD183" i="6" s="1"/>
  <c r="O191" i="6"/>
  <c r="AD191" i="6" s="1"/>
  <c r="Z25" i="2"/>
  <c r="AB27" i="2" l="1"/>
  <c r="AC27" i="2" s="1"/>
  <c r="AD27" i="2" s="1"/>
  <c r="AE27" i="2" s="1"/>
  <c r="AB30" i="2"/>
  <c r="K30" i="2"/>
  <c r="H60" i="5"/>
  <c r="H57" i="5"/>
  <c r="K27" i="2"/>
  <c r="Z21" i="2"/>
  <c r="Z48" i="2"/>
  <c r="AA48" i="2" s="1"/>
  <c r="AA25" i="2"/>
  <c r="AB25" i="2" s="1"/>
  <c r="Z37" i="2"/>
  <c r="AA37" i="2" s="1"/>
  <c r="P277" i="6"/>
  <c r="AC30" i="2" l="1"/>
  <c r="AD30" i="2" s="1"/>
  <c r="AF27" i="2"/>
  <c r="AG27" i="2" s="1"/>
  <c r="AH27" i="2" s="1"/>
  <c r="Z24" i="2"/>
  <c r="AA24" i="2" s="1"/>
  <c r="Z40" i="2"/>
  <c r="AA21" i="2"/>
  <c r="AB21" i="2" s="1"/>
  <c r="Z26" i="2"/>
  <c r="AC25" i="2"/>
  <c r="AD25" i="2" s="1"/>
  <c r="Z42" i="2"/>
  <c r="AA42" i="2" s="1"/>
  <c r="AB42" i="2" s="1"/>
  <c r="AB48" i="2"/>
  <c r="AC48" i="2" s="1"/>
  <c r="AB37" i="2"/>
  <c r="AC37" i="2" s="1"/>
  <c r="AD37" i="2" s="1"/>
  <c r="AE37" i="2" s="1"/>
  <c r="AF37" i="2" s="1"/>
  <c r="AG37" i="2" s="1"/>
  <c r="AH37" i="2" s="1"/>
  <c r="Z41" i="2"/>
  <c r="P272" i="6"/>
  <c r="P302" i="6"/>
  <c r="L46" i="2" s="1"/>
  <c r="P321" i="6"/>
  <c r="AE30" i="2" l="1"/>
  <c r="AF30" i="2" s="1"/>
  <c r="P268" i="6"/>
  <c r="L45" i="2" s="1"/>
  <c r="H76" i="5"/>
  <c r="K46" i="2"/>
  <c r="AA40" i="2"/>
  <c r="AB40" i="2" s="1"/>
  <c r="AC40" i="2" s="1"/>
  <c r="AD40" i="2" s="1"/>
  <c r="AE40" i="2" s="1"/>
  <c r="AF40" i="2" s="1"/>
  <c r="AG40" i="2" s="1"/>
  <c r="AH40" i="2" s="1"/>
  <c r="Z29" i="2"/>
  <c r="AA29" i="2" s="1"/>
  <c r="Z22" i="2"/>
  <c r="Z49" i="2"/>
  <c r="AD48" i="2"/>
  <c r="AE48" i="2" s="1"/>
  <c r="Z35" i="2"/>
  <c r="AA35" i="2" s="1"/>
  <c r="AB24" i="2"/>
  <c r="AC24" i="2" s="1"/>
  <c r="AA26" i="2"/>
  <c r="AC42" i="2"/>
  <c r="Z28" i="2"/>
  <c r="AE25" i="2"/>
  <c r="AC21" i="2"/>
  <c r="AD21" i="2" s="1"/>
  <c r="AE21" i="2" s="1"/>
  <c r="Z38" i="2"/>
  <c r="AA38" i="2" s="1"/>
  <c r="AB38" i="2" s="1"/>
  <c r="AC38" i="2" s="1"/>
  <c r="AD38" i="2" s="1"/>
  <c r="AE38" i="2" s="1"/>
  <c r="AF38" i="2" s="1"/>
  <c r="AG38" i="2" s="1"/>
  <c r="AA41" i="2"/>
  <c r="AB41" i="2" s="1"/>
  <c r="AC41" i="2" s="1"/>
  <c r="AD41" i="2" s="1"/>
  <c r="AE41" i="2" s="1"/>
  <c r="AF41" i="2" s="1"/>
  <c r="P331" i="6"/>
  <c r="Z45" i="2" l="1"/>
  <c r="AG30" i="2"/>
  <c r="AH30" i="2" s="1"/>
  <c r="O268" i="6"/>
  <c r="AD268" i="6" s="1"/>
  <c r="AB29" i="2"/>
  <c r="AC29" i="2" s="1"/>
  <c r="Z44" i="2"/>
  <c r="AA44" i="2" s="1"/>
  <c r="AA49" i="2"/>
  <c r="AB49" i="2" s="1"/>
  <c r="AF48" i="2"/>
  <c r="AG48" i="2" s="1"/>
  <c r="AH48" i="2" s="1"/>
  <c r="AA22" i="2"/>
  <c r="Z43" i="2"/>
  <c r="AD24" i="2"/>
  <c r="AE24" i="2" s="1"/>
  <c r="AF24" i="2" s="1"/>
  <c r="AG24" i="2" s="1"/>
  <c r="AH24" i="2" s="1"/>
  <c r="AB26" i="2"/>
  <c r="AB35" i="2"/>
  <c r="AD42" i="2"/>
  <c r="AF21" i="2"/>
  <c r="AG21" i="2" s="1"/>
  <c r="AH21" i="2" s="1"/>
  <c r="AF25" i="2"/>
  <c r="AG25" i="2" s="1"/>
  <c r="AH25" i="2" s="1"/>
  <c r="Z32" i="2"/>
  <c r="AA32" i="2" s="1"/>
  <c r="AA28" i="2"/>
  <c r="AB28" i="2" s="1"/>
  <c r="AC28" i="2" s="1"/>
  <c r="AG41" i="2"/>
  <c r="AH41" i="2" s="1"/>
  <c r="AH38" i="2"/>
  <c r="P326" i="6"/>
  <c r="AA45" i="2" l="1"/>
  <c r="AB45" i="2" s="1"/>
  <c r="AC45" i="2" s="1"/>
  <c r="P317" i="6"/>
  <c r="L47" i="2" s="1"/>
  <c r="H75" i="5"/>
  <c r="K45" i="2"/>
  <c r="AD29" i="2"/>
  <c r="AE29" i="2" s="1"/>
  <c r="AC49" i="2"/>
  <c r="AD49" i="2" s="1"/>
  <c r="AE49" i="2" s="1"/>
  <c r="AA43" i="2"/>
  <c r="AB43" i="2" s="1"/>
  <c r="AC43" i="2" s="1"/>
  <c r="AD43" i="2" s="1"/>
  <c r="AE43" i="2" s="1"/>
  <c r="AF43" i="2" s="1"/>
  <c r="AG43" i="2" s="1"/>
  <c r="AH43" i="2" s="1"/>
  <c r="AB22" i="2"/>
  <c r="AC22" i="2" s="1"/>
  <c r="AD22" i="2" s="1"/>
  <c r="AE22" i="2" s="1"/>
  <c r="AF22" i="2" s="1"/>
  <c r="AG22" i="2" s="1"/>
  <c r="AH22" i="2" s="1"/>
  <c r="AC35" i="2"/>
  <c r="AD35" i="2" s="1"/>
  <c r="AE35" i="2" s="1"/>
  <c r="AF35" i="2" s="1"/>
  <c r="AG35" i="2" s="1"/>
  <c r="AH35" i="2" s="1"/>
  <c r="AE42" i="2"/>
  <c r="AF42" i="2" s="1"/>
  <c r="AG42" i="2" s="1"/>
  <c r="AB32" i="2"/>
  <c r="AC32" i="2" s="1"/>
  <c r="Z39" i="2"/>
  <c r="AC26" i="2"/>
  <c r="AD26" i="2" s="1"/>
  <c r="AE26" i="2" s="1"/>
  <c r="AF26" i="2" s="1"/>
  <c r="AG26" i="2" s="1"/>
  <c r="AH26" i="2" s="1"/>
  <c r="Z36" i="2"/>
  <c r="AD28" i="2"/>
  <c r="AE28" i="2" s="1"/>
  <c r="AF28" i="2" s="1"/>
  <c r="AG28" i="2" s="1"/>
  <c r="AH28" i="2" s="1"/>
  <c r="AB44" i="2"/>
  <c r="A9" i="6"/>
  <c r="P203" i="6"/>
  <c r="P261" i="6"/>
  <c r="M74" i="6"/>
  <c r="P74" i="6" s="1"/>
  <c r="M73" i="6"/>
  <c r="P73" i="6" s="1"/>
  <c r="M72" i="6"/>
  <c r="P72" i="6" s="1"/>
  <c r="M71" i="6"/>
  <c r="P71" i="6" s="1"/>
  <c r="M70" i="6"/>
  <c r="M69" i="6"/>
  <c r="M68" i="6"/>
  <c r="AD45" i="2" l="1"/>
  <c r="AE45" i="2" s="1"/>
  <c r="Z47" i="2"/>
  <c r="AA47" i="2" s="1"/>
  <c r="P201" i="6"/>
  <c r="L31" i="2" s="1"/>
  <c r="P259" i="6"/>
  <c r="L34" i="2" s="1"/>
  <c r="O317" i="6"/>
  <c r="AD317" i="6" s="1"/>
  <c r="AF29" i="2"/>
  <c r="AG29" i="2" s="1"/>
  <c r="AH29" i="2" s="1"/>
  <c r="AF49" i="2"/>
  <c r="AG49" i="2" s="1"/>
  <c r="AH49" i="2" s="1"/>
  <c r="AA39" i="2"/>
  <c r="AB39" i="2" s="1"/>
  <c r="AC39" i="2" s="1"/>
  <c r="AD39" i="2" s="1"/>
  <c r="AE39" i="2" s="1"/>
  <c r="AF39" i="2" s="1"/>
  <c r="AG39" i="2" s="1"/>
  <c r="AH39" i="2" s="1"/>
  <c r="AA36" i="2"/>
  <c r="AB36" i="2" s="1"/>
  <c r="AH42" i="2"/>
  <c r="AC44" i="2"/>
  <c r="AD32" i="2"/>
  <c r="AE32" i="2" s="1"/>
  <c r="P209" i="6"/>
  <c r="L33" i="2" s="1"/>
  <c r="P68" i="6"/>
  <c r="P70" i="6"/>
  <c r="P69" i="6"/>
  <c r="AF45" i="2" l="1"/>
  <c r="AG45" i="2" s="1"/>
  <c r="AH45" i="2" s="1"/>
  <c r="AB47" i="2"/>
  <c r="AC47" i="2" s="1"/>
  <c r="AD47" i="2" s="1"/>
  <c r="AE47" i="2" s="1"/>
  <c r="H63" i="5"/>
  <c r="O209" i="6"/>
  <c r="AD209" i="6" s="1"/>
  <c r="H77" i="5"/>
  <c r="K47" i="2"/>
  <c r="O259" i="6"/>
  <c r="AD259" i="6" s="1"/>
  <c r="O201" i="6"/>
  <c r="AD201" i="6" s="1"/>
  <c r="AD44" i="2"/>
  <c r="AE44" i="2" s="1"/>
  <c r="AF44" i="2" s="1"/>
  <c r="AG44" i="2" s="1"/>
  <c r="AH44" i="2" s="1"/>
  <c r="AC36" i="2"/>
  <c r="AD36" i="2" s="1"/>
  <c r="AE36" i="2" s="1"/>
  <c r="AF36" i="2" s="1"/>
  <c r="AF32" i="2"/>
  <c r="AG32" i="2" s="1"/>
  <c r="AH32" i="2" s="1"/>
  <c r="P99" i="6"/>
  <c r="L23" i="2" s="1"/>
  <c r="Z33" i="2" l="1"/>
  <c r="AA33" i="2" s="1"/>
  <c r="AB33" i="2" s="1"/>
  <c r="AC33" i="2" s="1"/>
  <c r="AD33" i="2" s="1"/>
  <c r="AE33" i="2" s="1"/>
  <c r="AF47" i="2"/>
  <c r="AG47" i="2" s="1"/>
  <c r="AH47" i="2" s="1"/>
  <c r="Z23" i="2"/>
  <c r="Z34" i="2"/>
  <c r="K33" i="2"/>
  <c r="K31" i="2"/>
  <c r="H61" i="5"/>
  <c r="K34" i="2"/>
  <c r="H64" i="5"/>
  <c r="O99" i="6"/>
  <c r="AD99" i="6" s="1"/>
  <c r="AG36" i="2"/>
  <c r="AH36" i="2" s="1"/>
  <c r="A12" i="2"/>
  <c r="AF33" i="2" l="1"/>
  <c r="AG33" i="2" s="1"/>
  <c r="AH33" i="2" s="1"/>
  <c r="AA23" i="2"/>
  <c r="AB23" i="2" s="1"/>
  <c r="AC23" i="2" s="1"/>
  <c r="AD23" i="2" s="1"/>
  <c r="Z31" i="2"/>
  <c r="AA31" i="2" s="1"/>
  <c r="AB31" i="2" s="1"/>
  <c r="AA34" i="2"/>
  <c r="H53" i="5"/>
  <c r="K23" i="2"/>
  <c r="Z46" i="2"/>
  <c r="AA46" i="2" s="1"/>
  <c r="AB34" i="2" l="1"/>
  <c r="AC34" i="2" s="1"/>
  <c r="AD34" i="2" s="1"/>
  <c r="AE23" i="2"/>
  <c r="AF23" i="2" s="1"/>
  <c r="AG23" i="2" s="1"/>
  <c r="AH23" i="2" s="1"/>
  <c r="AC31" i="2"/>
  <c r="P17" i="6"/>
  <c r="L20" i="2" s="1"/>
  <c r="AB46" i="2"/>
  <c r="AC46" i="2" s="1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AE34" i="2" l="1"/>
  <c r="AF34" i="2" s="1"/>
  <c r="AG34" i="2" s="1"/>
  <c r="AH34" i="2" s="1"/>
  <c r="AD31" i="2"/>
  <c r="AE31" i="2" s="1"/>
  <c r="AF31" i="2" s="1"/>
  <c r="O17" i="6"/>
  <c r="AD17" i="6" s="1"/>
  <c r="AD2" i="6" s="1"/>
  <c r="AD46" i="2"/>
  <c r="AE46" i="2" s="1"/>
  <c r="AF46" i="2" s="1"/>
  <c r="AG46" i="2" s="1"/>
  <c r="AH46" i="2" s="1"/>
  <c r="C14" i="6"/>
  <c r="C13" i="6"/>
  <c r="Z20" i="2" l="1"/>
  <c r="AA20" i="2" s="1"/>
  <c r="AG31" i="2"/>
  <c r="AH31" i="2" s="1"/>
  <c r="H50" i="5"/>
  <c r="H485" i="5" s="1"/>
  <c r="N1" i="2" s="1"/>
  <c r="K20" i="2"/>
  <c r="A24" i="1"/>
  <c r="AB20" i="2" l="1"/>
  <c r="AC20" i="2" s="1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D20" i="2" l="1"/>
  <c r="AE20" i="2" s="1"/>
  <c r="AF20" i="2" s="1"/>
  <c r="AG20" i="2" s="1"/>
  <c r="AH20" i="2" s="1"/>
  <c r="G484" i="5"/>
</calcChain>
</file>

<file path=xl/sharedStrings.xml><?xml version="1.0" encoding="utf-8"?>
<sst xmlns="http://schemas.openxmlformats.org/spreadsheetml/2006/main" count="2739" uniqueCount="1099">
  <si>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</si>
  <si>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</si>
  <si>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</si>
  <si>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</si>
  <si>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</si>
  <si>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</si>
  <si>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</si>
  <si>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</si>
  <si>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</si>
  <si>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</si>
  <si>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</si>
  <si>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</si>
  <si>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</si>
  <si>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</si>
  <si>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</si>
  <si>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</si>
  <si>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</si>
  <si>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</si>
  <si>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</si>
  <si>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</si>
  <si>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</si>
  <si>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</si>
  <si>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</si>
  <si>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</si>
  <si>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</si>
  <si>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</si>
  <si>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</si>
  <si>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</si>
  <si>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</si>
  <si>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</si>
  <si>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</si>
  <si>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</si>
  <si>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</si>
  <si>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</si>
  <si>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</si>
  <si>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</si>
  <si>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</si>
  <si>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</si>
  <si>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</si>
  <si>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</si>
  <si>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</si>
  <si>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</si>
  <si>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</si>
  <si>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</si>
  <si>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</si>
  <si>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</si>
  <si>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</si>
  <si>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</si>
  <si>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</si>
  <si>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</si>
  <si>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</si>
  <si>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</si>
  <si>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</si>
  <si>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</si>
  <si>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</si>
  <si>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</si>
  <si>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</si>
  <si>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</si>
  <si>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</si>
  <si>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</si>
  <si>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</si>
  <si>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</si>
  <si>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</si>
  <si>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</si>
  <si>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</si>
  <si>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</si>
  <si>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</si>
  <si>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</si>
  <si>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</si>
  <si>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</si>
  <si>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</si>
  <si>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</si>
  <si>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</si>
  <si>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</si>
  <si>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</si>
  <si>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</si>
  <si>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</si>
  <si>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</si>
  <si>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</si>
  <si>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</si>
  <si>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</si>
  <si>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</si>
  <si>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</si>
  <si>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</si>
  <si>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</si>
  <si>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</si>
  <si>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</si>
  <si>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</si>
  <si>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</si>
  <si>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</si>
  <si>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</si>
  <si>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</si>
  <si>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</si>
  <si>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</si>
  <si>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</si>
  <si>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</si>
  <si>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</si>
  <si>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</si>
  <si>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</si>
  <si>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</si>
  <si>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</si>
  <si>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</si>
  <si>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</si>
  <si>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</si>
  <si>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</si>
  <si>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</si>
  <si>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</si>
  <si>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</si>
  <si>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</si>
  <si>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</si>
  <si>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</si>
  <si>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</si>
  <si>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</si>
  <si>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</si>
  <si>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</si>
  <si>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</si>
  <si>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</si>
  <si>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</si>
  <si>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</si>
  <si>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</si>
  <si>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</si>
  <si>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</si>
  <si>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</si>
  <si>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</si>
  <si>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</si>
  <si>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</si>
  <si>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</si>
  <si>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</si>
  <si>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</si>
  <si>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</si>
  <si>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</si>
  <si>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</si>
  <si>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</si>
  <si>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</si>
  <si>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</si>
  <si>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</si>
  <si>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</si>
  <si>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</si>
  <si>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</si>
  <si>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</si>
  <si>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</si>
  <si>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</si>
  <si>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</si>
  <si>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</si>
  <si>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</si>
  <si>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</si>
  <si>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</si>
  <si>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</si>
  <si>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</si>
  <si>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</si>
  <si>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</si>
  <si>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</si>
  <si>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</si>
  <si>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</si>
  <si>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</si>
  <si>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</si>
  <si>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</si>
  <si>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</si>
  <si>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</si>
  <si>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</si>
  <si>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</si>
  <si>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</si>
  <si>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</si>
  <si>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</si>
  <si>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</si>
  <si>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</si>
  <si>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</si>
  <si>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</si>
  <si>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</si>
  <si>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</si>
  <si>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</si>
  <si>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</si>
  <si>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</si>
  <si>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</si>
  <si>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</si>
  <si>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</si>
  <si>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</si>
  <si>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</si>
  <si>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</si>
  <si>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</si>
  <si>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</si>
  <si>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</si>
  <si>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</si>
  <si>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</si>
  <si>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</si>
  <si>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</si>
  <si>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</si>
  <si>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</si>
  <si>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</si>
  <si>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</si>
  <si>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</si>
  <si>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</si>
  <si>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</si>
  <si>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</si>
  <si>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</si>
  <si>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</si>
  <si>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</si>
  <si>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</si>
  <si>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</si>
  <si>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</si>
  <si>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</si>
  <si>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</si>
  <si>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</si>
  <si>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</si>
  <si>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</si>
  <si>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</si>
  <si>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</si>
  <si>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</si>
  <si>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</si>
  <si>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</si>
  <si>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</si>
  <si>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</si>
  <si>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</si>
  <si>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</si>
  <si>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</si>
  <si>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</si>
  <si>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</si>
  <si>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</si>
  <si>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</si>
  <si>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</si>
  <si>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</si>
  <si>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</si>
  <si>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</si>
  <si>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</si>
  <si>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</si>
  <si>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</si>
  <si>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</si>
  <si>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</si>
  <si>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</si>
  <si>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</si>
  <si>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</si>
  <si>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</si>
  <si>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</si>
  <si>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</si>
  <si>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</si>
  <si>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</si>
  <si>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</si>
  <si>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</si>
  <si>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</si>
  <si>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</si>
  <si>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</si>
  <si>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</si>
  <si>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</si>
  <si>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</si>
  <si>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</si>
  <si>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</si>
  <si>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</si>
  <si>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</si>
  <si>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</si>
  <si>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</si>
  <si>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</si>
  <si>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</si>
  <si>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</si>
  <si>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</si>
  <si>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</si>
  <si>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</si>
  <si>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</si>
  <si>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</si>
  <si>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</si>
  <si>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</si>
  <si>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</si>
  <si>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</si>
  <si>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</si>
  <si>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</si>
  <si>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</si>
  <si>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</si>
  <si>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</si>
  <si>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</si>
  <si>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</si>
  <si>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</si>
  <si>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</si>
  <si>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</si>
  <si>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</si>
  <si>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</si>
  <si>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</si>
  <si>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</si>
  <si>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</si>
  <si>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</si>
  <si>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</si>
  <si>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</si>
  <si>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</si>
  <si>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</si>
  <si>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</si>
  <si>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</si>
  <si>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</si>
  <si>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</si>
  <si>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</si>
  <si>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</si>
  <si>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</si>
  <si>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</si>
  <si>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</si>
  <si>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</si>
  <si>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</si>
  <si>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</si>
  <si>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</si>
  <si>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</si>
  <si>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</si>
  <si>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</si>
  <si>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</si>
  <si>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</si>
  <si>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</si>
  <si>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</si>
  <si>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</si>
  <si>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</si>
  <si>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</si>
  <si>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</si>
  <si>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</si>
  <si>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</si>
  <si>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</si>
  <si>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</si>
  <si>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</si>
  <si>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</si>
  <si>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</si>
  <si>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</si>
  <si>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</si>
  <si>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</si>
  <si>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</si>
  <si>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</si>
  <si>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</si>
  <si>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</si>
  <si>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</si>
  <si>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</si>
  <si>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</si>
  <si>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</si>
  <si>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</si>
  <si>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</si>
  <si>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</si>
  <si>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</si>
  <si>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</si>
  <si>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</si>
  <si>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</si>
  <si>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</si>
  <si>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</si>
  <si>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</si>
  <si>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</si>
  <si>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</si>
  <si>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</si>
  <si>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</si>
  <si>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</si>
  <si>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</si>
  <si>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</si>
  <si>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</si>
  <si>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</si>
  <si>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</si>
  <si>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</si>
  <si>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</si>
  <si>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</si>
  <si>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</si>
  <si>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</si>
  <si>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</si>
  <si>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</si>
  <si>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</si>
  <si>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</si>
  <si>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</si>
  <si>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</si>
  <si>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</si>
  <si>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</si>
  <si>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</si>
  <si>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</si>
  <si>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</si>
  <si>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</si>
  <si>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</si>
  <si>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</si>
  <si>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</si>
  <si>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</si>
  <si>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</si>
  <si>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</si>
  <si>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</si>
  <si>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</si>
  <si>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</si>
  <si>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</si>
  <si>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</si>
  <si>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</si>
  <si>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</si>
  <si>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</si>
  <si>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</si>
  <si>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</si>
  <si>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</si>
  <si>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</si>
  <si>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</si>
  <si>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</si>
  <si>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</si>
  <si>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</si>
  <si>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</si>
  <si>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</si>
  <si>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</si>
  <si>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</si>
  <si>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</si>
  <si>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</si>
  <si>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</si>
  <si>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</si>
  <si>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</si>
  <si>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</si>
  <si>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</si>
  <si>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</si>
  <si>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</si>
  <si>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</si>
  <si>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</si>
  <si>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</si>
  <si>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</si>
  <si>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</si>
  <si>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</si>
  <si>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</si>
  <si>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</si>
  <si>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</si>
  <si>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</si>
  <si>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</si>
  <si>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</si>
  <si>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</si>
  <si>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</si>
  <si>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</si>
  <si>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</si>
  <si>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</si>
  <si>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</si>
  <si>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</si>
  <si>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</si>
  <si>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</si>
  <si>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</si>
  <si>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</si>
  <si>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</si>
  <si>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</si>
  <si>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</si>
  <si>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</si>
  <si>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</si>
  <si>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</si>
  <si>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</si>
  <si>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</si>
  <si>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</si>
  <si>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</si>
  <si>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</si>
  <si>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</si>
  <si>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</si>
  <si>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</si>
  <si>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</si>
  <si>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</si>
  <si>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</si>
  <si>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</si>
  <si>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</si>
  <si>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</si>
  <si>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</si>
  <si>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</si>
  <si>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</si>
  <si>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</si>
  <si>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</si>
  <si>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</si>
  <si>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</si>
  <si>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</si>
  <si>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</si>
  <si>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</si>
  <si>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</si>
  <si>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</si>
  <si>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</si>
  <si>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</si>
  <si>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</si>
  <si>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</si>
  <si>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</si>
  <si>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</si>
  <si>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</si>
  <si>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</si>
  <si>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</si>
  <si>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</si>
  <si>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</si>
  <si>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</si>
  <si>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</si>
  <si>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</si>
  <si>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</si>
  <si>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</si>
  <si>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</si>
  <si>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</si>
  <si>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</si>
  <si>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</si>
  <si>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</si>
  <si>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</si>
  <si>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</si>
  <si>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</si>
  <si>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</si>
  <si>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</si>
  <si>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</si>
  <si>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</si>
  <si>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</si>
  <si>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</si>
  <si>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</si>
  <si>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</si>
  <si>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</si>
  <si>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</si>
  <si>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</si>
  <si>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</si>
  <si>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</si>
  <si>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</si>
  <si>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</si>
  <si>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</si>
  <si>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</si>
  <si>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</si>
  <si>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</si>
  <si>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</si>
  <si>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</si>
  <si>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</si>
  <si>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</si>
  <si>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</si>
  <si>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</si>
  <si>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</si>
  <si>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</si>
  <si>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</si>
  <si>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</si>
  <si>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</si>
  <si>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</si>
  <si>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</si>
  <si>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</si>
  <si>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</si>
  <si>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</si>
  <si>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</si>
  <si>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</si>
  <si>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</si>
  <si>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</si>
  <si>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</si>
  <si>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</si>
  <si>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</si>
  <si>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</si>
  <si>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</si>
  <si>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</si>
  <si>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</si>
  <si>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</si>
  <si>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</si>
  <si>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</si>
  <si>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</si>
  <si>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</si>
  <si>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</si>
  <si>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</si>
  <si>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</si>
  <si>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</si>
  <si>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</si>
  <si>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</si>
  <si>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</si>
  <si>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</si>
  <si>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</si>
  <si>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</si>
  <si>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</si>
  <si>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</si>
  <si>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</si>
  <si>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</si>
  <si>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</si>
  <si>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</si>
  <si>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</si>
  <si>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</si>
  <si>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</si>
  <si>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</si>
  <si>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</si>
  <si>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</si>
  <si>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</si>
  <si>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</si>
  <si>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</si>
  <si>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</si>
  <si>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</si>
  <si>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</si>
  <si>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</si>
  <si>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</si>
  <si>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</si>
  <si>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</si>
  <si>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</si>
  <si>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</si>
  <si>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</si>
  <si>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</si>
  <si>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</si>
  <si>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</si>
  <si>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</si>
  <si>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</si>
  <si>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</si>
  <si>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</si>
  <si>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</si>
  <si>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</si>
  <si>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</si>
  <si>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</si>
  <si>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</si>
  <si>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</si>
  <si>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</si>
  <si>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</si>
  <si>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</si>
  <si>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</si>
  <si>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</si>
  <si>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</si>
  <si>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</si>
  <si>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</si>
  <si>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</si>
  <si>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</si>
  <si>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</si>
  <si>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</si>
  <si>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</si>
  <si>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</si>
  <si>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</si>
  <si>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</si>
  <si>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</si>
  <si>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</si>
  <si>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</si>
  <si>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</si>
  <si>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</si>
  <si>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</si>
  <si>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</si>
  <si>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</si>
  <si>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</si>
  <si>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</si>
  <si>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</si>
  <si>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</si>
  <si>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</si>
  <si>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</si>
  <si>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</si>
  <si>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</si>
  <si>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</si>
  <si>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</si>
  <si>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</si>
  <si>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</si>
  <si>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</si>
  <si>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</si>
  <si>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</si>
  <si>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</si>
  <si>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</si>
  <si>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</si>
  <si>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</si>
  <si>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</si>
  <si>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</si>
  <si>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</si>
  <si>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</si>
  <si>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</si>
  <si>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</si>
  <si>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</si>
  <si>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</si>
  <si>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</si>
  <si>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</si>
  <si>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</si>
  <si>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</si>
  <si>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</si>
  <si>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</si>
  <si>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</si>
  <si>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</si>
  <si>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</si>
  <si>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</si>
  <si>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</si>
  <si>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</si>
  <si>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</si>
  <si>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</si>
  <si>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</si>
  <si>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</si>
  <si>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</si>
  <si>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</si>
  <si>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</si>
  <si>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</si>
  <si>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</si>
  <si>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</si>
  <si>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</si>
  <si>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</si>
  <si>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</si>
  <si>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</si>
  <si>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</si>
  <si>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</si>
  <si>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</si>
  <si>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</si>
  <si>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</si>
  <si>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</si>
  <si>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</si>
  <si>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</si>
  <si>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</si>
  <si>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</si>
  <si>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</si>
  <si>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</si>
  <si>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</si>
  <si>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</si>
  <si>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</si>
  <si>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</si>
  <si>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</si>
  <si>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</si>
  <si>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</si>
  <si>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</si>
  <si>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</si>
  <si>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</si>
  <si>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</si>
  <si>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</si>
  <si>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</si>
  <si>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</si>
  <si>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</si>
  <si>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</si>
  <si>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</si>
  <si>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</si>
  <si>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</si>
  <si>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</si>
  <si>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</si>
  <si>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</si>
  <si>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</si>
  <si>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</si>
  <si>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</si>
  <si>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</si>
  <si>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</si>
  <si>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</si>
  <si>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</si>
  <si>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</si>
  <si>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</si>
  <si>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</si>
  <si>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</si>
  <si>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</si>
  <si>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</si>
  <si>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</si>
  <si>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</si>
  <si>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</si>
  <si>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</si>
  <si>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</si>
  <si>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</si>
  <si>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</si>
  <si>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</si>
  <si>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</si>
  <si>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</si>
  <si>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</si>
  <si>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</si>
  <si>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</si>
  <si>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</si>
  <si>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</si>
  <si>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</si>
  <si>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</si>
  <si>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</si>
  <si>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</si>
  <si>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</si>
  <si>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</si>
  <si>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</si>
  <si>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</si>
  <si>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</si>
  <si>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</si>
  <si>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</si>
  <si>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</si>
  <si>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</si>
  <si>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</si>
  <si>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</si>
  <si>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</si>
  <si>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</si>
  <si>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</si>
  <si>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</si>
  <si>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</si>
  <si>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</si>
  <si>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</si>
  <si>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</si>
  <si>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</si>
  <si>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</si>
  <si>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</si>
  <si>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</si>
  <si>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</si>
  <si>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</si>
  <si>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</si>
  <si>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</si>
  <si>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</si>
  <si>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</si>
  <si>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</si>
  <si>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</si>
  <si>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</si>
  <si>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</si>
  <si>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</si>
  <si>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</si>
  <si>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</si>
  <si>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</si>
  <si>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</si>
  <si>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</si>
  <si>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</si>
  <si>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</si>
  <si>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</si>
  <si>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</si>
  <si>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</si>
  <si>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</si>
  <si>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</si>
  <si>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</si>
  <si>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</si>
  <si>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</si>
  <si>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</si>
  <si>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</si>
  <si>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</si>
  <si>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</si>
  <si>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</si>
  <si>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</si>
  <si>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</si>
  <si>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</si>
  <si>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</si>
  <si>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</si>
  <si>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</si>
  <si>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</si>
  <si>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</si>
  <si>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</si>
  <si>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</si>
  <si>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</si>
  <si>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</si>
  <si>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</si>
  <si>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</si>
  <si>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</si>
  <si>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</si>
  <si>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</si>
  <si>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</si>
  <si>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</si>
  <si>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</si>
  <si>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</si>
  <si>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</si>
  <si>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</si>
  <si>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</si>
  <si>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</si>
  <si>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</si>
  <si>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</si>
  <si>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</si>
  <si>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</si>
  <si>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</si>
  <si>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</si>
  <si>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</si>
  <si>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</si>
  <si>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</si>
  <si>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</si>
  <si>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</si>
  <si>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</si>
  <si>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</si>
  <si>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</si>
  <si>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</si>
  <si>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</si>
  <si>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</si>
  <si>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</si>
  <si>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</si>
  <si>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</si>
  <si>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</si>
  <si>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</si>
  <si>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</si>
  <si>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</si>
  <si>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</si>
  <si>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</si>
  <si>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</si>
  <si>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</si>
  <si>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</si>
  <si>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</si>
  <si>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</si>
  <si>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</si>
  <si>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</si>
  <si>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</si>
  <si>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</si>
  <si>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</si>
  <si>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</si>
  <si>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</si>
  <si>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</si>
  <si>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</si>
  <si>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</si>
  <si>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</si>
  <si>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</si>
  <si>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</si>
  <si>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</si>
  <si>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</si>
  <si>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</si>
  <si>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</si>
  <si>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</si>
  <si>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</si>
  <si>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</si>
  <si>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</si>
  <si>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</si>
  <si>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</si>
  <si>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</si>
  <si>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</si>
  <si>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</si>
  <si>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</si>
  <si>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</si>
  <si>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</si>
  <si>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</si>
  <si>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</si>
  <si>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</si>
  <si>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</si>
  <si>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</si>
  <si>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</si>
  <si>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</si>
  <si>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</si>
  <si>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</si>
  <si>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</si>
  <si>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</si>
  <si>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</si>
  <si>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</si>
  <si>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</si>
  <si>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</si>
  <si>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</si>
  <si>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</si>
  <si>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</si>
  <si>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</si>
  <si>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</si>
  <si>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</si>
  <si>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</si>
  <si>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</si>
  <si>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</si>
  <si>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</si>
  <si>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</si>
  <si>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</si>
  <si>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</si>
  <si>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</si>
  <si>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</si>
  <si>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</si>
  <si>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</si>
  <si>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</si>
  <si>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</si>
  <si>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</si>
  <si>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</si>
  <si>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</si>
  <si>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</si>
  <si>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</si>
  <si>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</si>
  <si>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</si>
  <si>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</si>
  <si>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</si>
  <si>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</si>
  <si>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</si>
  <si>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</si>
  <si>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</si>
  <si>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</si>
  <si>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</si>
  <si>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</si>
  <si>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</si>
  <si>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</si>
  <si>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</si>
  <si>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</si>
  <si>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</si>
  <si>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</si>
  <si>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</si>
  <si>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</si>
  <si>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</si>
  <si>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</si>
  <si>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</si>
  <si>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</si>
  <si>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</si>
  <si>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</si>
  <si>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</si>
  <si>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</si>
  <si>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</si>
  <si>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</si>
  <si>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</si>
  <si>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</si>
  <si>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</si>
  <si>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</si>
  <si>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</si>
  <si>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</si>
  <si>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</si>
  <si>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</si>
  <si>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</si>
  <si>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</si>
  <si>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</si>
  <si>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</si>
  <si>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</si>
  <si>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</si>
  <si>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</si>
  <si>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</si>
  <si>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</si>
  <si>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</si>
  <si>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</si>
  <si>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</si>
  <si>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</si>
  <si>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</si>
  <si>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</si>
  <si>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</si>
  <si>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</si>
  <si>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</si>
  <si>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</si>
  <si>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</si>
  <si>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</si>
  <si>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</si>
  <si>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</si>
  <si>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</si>
  <si>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</si>
  <si>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</si>
  <si>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</si>
  <si>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</si>
  <si>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</si>
  <si>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</si>
  <si>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</si>
  <si>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</si>
  <si>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</si>
  <si>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</si>
  <si>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</si>
  <si>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</si>
  <si>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</si>
  <si>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</si>
  <si>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</si>
  <si>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</si>
  <si>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</si>
  <si>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</si>
  <si>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</si>
  <si>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</si>
  <si>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</si>
  <si>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</si>
  <si>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</si>
  <si>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</si>
  <si>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</si>
  <si>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</si>
  <si>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</si>
  <si>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</si>
  <si>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</si>
  <si>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</si>
  <si>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</si>
  <si>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</si>
  <si>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</si>
  <si>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</si>
  <si>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</si>
  <si>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</si>
  <si>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</si>
  <si>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</si>
  <si>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</si>
  <si>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</si>
  <si>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</si>
  <si>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</si>
  <si>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</si>
  <si>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</si>
  <si>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</si>
  <si>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3 Nolu İksa Tipi Ayna 10m²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</si>
  <si>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</si>
  <si>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</si>
  <si>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</si>
  <si>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</si>
  <si>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</si>
  <si>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</si>
  <si>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</si>
  <si>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</si>
  <si>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</si>
  <si>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</si>
  <si>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</si>
  <si>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</si>
  <si>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</si>
  <si>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1.Aşama İmalatları</t>
  </si>
  <si>
    <t>1.Aşama Geçici İnvert İmalatları</t>
  </si>
  <si>
    <t>3 Nolu İksa Tipi Ayna
(KHU-KOZ1-L00-P1T-000-TGN-DEX-TR-U-104-0)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</si>
  <si>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</si>
  <si>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</si>
  <si>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</si>
  <si>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</si>
  <si>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</si>
  <si>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</si>
  <si>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P1 - 1 Nolu Tip Geçici İksa</t>
  </si>
  <si>
    <t>P1 - 6 Nolu Tip Geçici İksa</t>
  </si>
  <si>
    <t>P1 - 2 Nolu Tip Geçici İksa</t>
  </si>
  <si>
    <t>P1 - 3 Nolu Tip Geçici İksa</t>
  </si>
  <si>
    <t>P1 - 4 Nolu Tip Geçici İksa</t>
  </si>
  <si>
    <t>P1 - 5 Nolu Tip Geçici İksa</t>
  </si>
  <si>
    <t>Adeti</t>
  </si>
  <si>
    <t>Pah Bölgesi Z Donatıları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</si>
  <si>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</si>
  <si>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</si>
  <si>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</si>
  <si>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</si>
  <si>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</si>
  <si>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</si>
  <si>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</si>
  <si>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</si>
  <si>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</si>
  <si>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</si>
  <si>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</si>
  <si>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</si>
  <si>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</si>
  <si>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</si>
  <si>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</si>
  <si>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</si>
  <si>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</si>
  <si>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</si>
  <si>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</si>
  <si>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</si>
  <si>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</si>
  <si>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</si>
  <si>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</si>
  <si>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</si>
  <si>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</si>
  <si>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</si>
  <si>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Barbaros İstasyonu Hat - 1 Halkalı Yönü P1 Tüneli 1.Aşama</t>
  </si>
  <si>
    <t>2025.07-001</t>
  </si>
  <si>
    <t>S06.H1.HY.P1.A1.001</t>
  </si>
  <si>
    <t>1+363,88 KM Pah donatısı</t>
  </si>
  <si>
    <t>1+368,38 KM Pah donatısı</t>
  </si>
  <si>
    <t>2025.08-001</t>
  </si>
  <si>
    <t>S06.H1.HY.P1.A1.002</t>
  </si>
  <si>
    <t>2 Nolu İksa Tipi Ayna 10m²</t>
  </si>
  <si>
    <t>4 Nolu İksa Tipi Ayna 8m²</t>
  </si>
  <si>
    <t>4 Nolu İksa Tipi Ayna 10m²</t>
  </si>
  <si>
    <t>1+372,88 KM Pah donatısı</t>
  </si>
  <si>
    <t>1+377,38 KM Pah donatısı</t>
  </si>
  <si>
    <t>1+381,88 KM Pah donatısı</t>
  </si>
  <si>
    <t>2 Nolu İksa Tipi Ayna
(KHU-KOZ1-L00-P1T-000-TGN-DEX-TR-U-104-0)</t>
  </si>
  <si>
    <t>4 Nolu İksa Tipi Ayna
(KHU-KOZ1-L00-P1T-000-TGN-DEX-TR-U-104-0)</t>
  </si>
  <si>
    <t>2 Nolu İksa Tipi Ayna 8m²</t>
  </si>
  <si>
    <t>1+386,38 KM Pah donatısı</t>
  </si>
  <si>
    <t>2025.09-001</t>
  </si>
  <si>
    <t>S06.H1.HY.P1.A1.003</t>
  </si>
  <si>
    <t>1+390,88 KM Pah donatısı</t>
  </si>
  <si>
    <t>1+395,38 KM Pah donatısı</t>
  </si>
  <si>
    <t>1+399,88 KM Pah donatısı</t>
  </si>
  <si>
    <t>Q589/589</t>
  </si>
  <si>
    <t>2025.10-001</t>
  </si>
  <si>
    <t>S06.H1.HY.P1.A1.004</t>
  </si>
  <si>
    <t>6 Nolu İksa Tipi Ayna (Geçici İnvert)</t>
  </si>
  <si>
    <t>ÖNCEKİ HAKEDİŞ MİKTARI</t>
  </si>
  <si>
    <t>BU HAKEDİŞ MİKTARI</t>
  </si>
  <si>
    <t>TOPLAM HAKEDİŞ MİKTARI</t>
  </si>
  <si>
    <t>(KHU-KOZ1-L00-P1T-000-TGN-DEX-TR-U-105-0)</t>
  </si>
  <si>
    <t>Ø14  İşban Demiri (B1 Pozu)</t>
  </si>
  <si>
    <t>2025.11-001</t>
  </si>
  <si>
    <t>S06.H1.HY.P1.A1.005</t>
  </si>
  <si>
    <t>2025.12-023</t>
  </si>
  <si>
    <t>Kontak Enjeksiyon</t>
  </si>
  <si>
    <t>5 te değişti eskiden 4 tü</t>
  </si>
  <si>
    <t>Önceki Hakediş</t>
  </si>
  <si>
    <t>Bu Hakediş Tutarı</t>
  </si>
  <si>
    <t>Kümülatif Hakediş</t>
  </si>
  <si>
    <t>Ayna Emniyet Shotcrete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</si>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</sst>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224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165" fontId="0" fillId="0" borderId="6" xfId="0" applyNumberFormat="1" applyBorder="1" applyAlignment="1">
      <alignment horizontal="center" vertical="center"/>
    </xf>
    <xf numFmtId="0" fontId="0" fillId="0" borderId="6" xfId="0" quotePrefix="1" applyBorder="1" applyAlignment="1">
      <alignment horizontal="centerContinuous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8" fontId="0" fillId="0" borderId="6" xfId="1" applyNumberFormat="1" applyFont="1" applyBorder="1" applyAlignment="1">
      <alignment horizontal="centerContinuous" vertical="center"/>
    </xf>
    <xf numFmtId="167" fontId="0" fillId="0" borderId="13" xfId="2" applyNumberFormat="1" applyFont="1" applyBorder="1" applyAlignment="1">
      <alignment horizontal="right" vertical="center" indent="1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0" fontId="0" fillId="0" borderId="11" xfId="0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43" fontId="0" fillId="0" borderId="13" xfId="1" applyFont="1" applyFill="1" applyBorder="1" applyAlignment="1">
      <alignment horizontal="center" vertical="center"/>
    </xf>
    <xf numFmtId="9" fontId="0" fillId="0" borderId="6" xfId="2" applyFont="1" applyFill="1" applyBorder="1" applyAlignment="1">
      <alignment horizontal="center" vertical="center"/>
    </xf>
    <xf numFmtId="168" fontId="0" fillId="0" borderId="6" xfId="1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43" fontId="0" fillId="0" borderId="13" xfId="1" applyFont="1" applyFill="1" applyBorder="1" applyAlignment="1">
      <alignment horizontal="centerContinuous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0" fillId="0" borderId="16" xfId="0" quotePrefix="1" applyBorder="1" applyAlignment="1">
      <alignment horizontal="centerContinuous" vertical="center"/>
    </xf>
    <xf numFmtId="166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43" fontId="0" fillId="0" borderId="18" xfId="1" applyFont="1" applyBorder="1" applyAlignment="1">
      <alignment horizontal="center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16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left" vertical="center"/>
    </xf>
    <xf numFmtId="0" fontId="0" fillId="0" borderId="9" xfId="0" applyBorder="1" applyAlignment="1">
      <alignment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0" fontId="0" fillId="0" borderId="7" xfId="0" applyBorder="1" applyAlignment="1">
      <alignment horizontal="left" vertical="center"/>
    </xf>
    <xf numFmtId="43" fontId="0" fillId="0" borderId="9" xfId="1" applyFont="1" applyBorder="1" applyAlignment="1">
      <alignment horizontal="center" vertical="center"/>
    </xf>
    <xf numFmtId="0" fontId="0" fillId="0" borderId="17" xfId="0" applyBorder="1" applyAlignment="1">
      <alignment horizontal="centerContinuous" vertical="center"/>
    </xf>
    <xf numFmtId="43" fontId="0" fillId="0" borderId="18" xfId="1" applyFont="1" applyBorder="1" applyAlignment="1">
      <alignment horizontal="centerContinuous" vertical="center"/>
    </xf>
    <xf numFmtId="0" fontId="0" fillId="0" borderId="7" xfId="0" applyBorder="1" applyAlignment="1">
      <alignment horizontal="centerContinuous" vertical="center"/>
    </xf>
    <xf numFmtId="43" fontId="0" fillId="0" borderId="9" xfId="1" applyFont="1" applyBorder="1" applyAlignment="1">
      <alignment horizontal="centerContinuous" vertical="center"/>
    </xf>
    <xf numFmtId="0" fontId="0" fillId="0" borderId="19" xfId="0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19" xfId="0" quotePrefix="1" applyBorder="1" applyAlignment="1">
      <alignment horizontal="centerContinuous" vertical="center"/>
    </xf>
    <xf numFmtId="166" fontId="0" fillId="0" borderId="19" xfId="0" applyNumberFormat="1" applyBorder="1" applyAlignment="1">
      <alignment horizontal="center" vertical="center"/>
    </xf>
    <xf numFmtId="0" fontId="0" fillId="0" borderId="10" xfId="0" applyBorder="1" applyAlignment="1">
      <alignment horizontal="centerContinuous" vertical="center"/>
    </xf>
    <xf numFmtId="43" fontId="0" fillId="0" borderId="20" xfId="1" applyFont="1" applyBorder="1" applyAlignment="1">
      <alignment horizontal="centerContinuous" vertical="center"/>
    </xf>
    <xf numFmtId="167" fontId="0" fillId="0" borderId="19" xfId="2" applyNumberFormat="1" applyFont="1" applyBorder="1" applyAlignment="1">
      <alignment horizontal="right" vertical="center" indent="1"/>
    </xf>
    <xf numFmtId="168" fontId="0" fillId="0" borderId="19" xfId="1" applyNumberFormat="1" applyFont="1" applyBorder="1" applyAlignment="1">
      <alignment vertical="center"/>
    </xf>
    <xf numFmtId="166" fontId="0" fillId="2" borderId="15" xfId="0" applyNumberFormat="1" applyFill="1" applyBorder="1" applyAlignment="1">
      <alignment horizontal="centerContinuous" vertical="center"/>
    </xf>
    <xf numFmtId="166" fontId="0" fillId="0" borderId="16" xfId="0" applyNumberFormat="1" applyBorder="1" applyAlignment="1">
      <alignment horizontal="centerContinuous" vertical="center"/>
    </xf>
    <xf numFmtId="169" fontId="0" fillId="0" borderId="16" xfId="0" applyNumberFormat="1" applyBorder="1" applyAlignment="1">
      <alignment horizontal="center" vertical="center"/>
    </xf>
    <xf numFmtId="43" fontId="0" fillId="0" borderId="16" xfId="1" applyFont="1" applyBorder="1" applyAlignment="1">
      <alignment horizontal="left" vertical="center"/>
    </xf>
    <xf numFmtId="166" fontId="0" fillId="0" borderId="5" xfId="0" applyNumberFormat="1" applyBorder="1" applyAlignment="1">
      <alignment horizontal="centerContinuous" vertical="center"/>
    </xf>
    <xf numFmtId="169" fontId="0" fillId="0" borderId="5" xfId="0" applyNumberFormat="1" applyBorder="1" applyAlignment="1">
      <alignment horizontal="center" vertical="center"/>
    </xf>
    <xf numFmtId="43" fontId="0" fillId="0" borderId="5" xfId="1" applyFont="1" applyBorder="1" applyAlignment="1">
      <alignment horizontal="left" vertical="center"/>
    </xf>
    <xf numFmtId="166" fontId="0" fillId="0" borderId="19" xfId="0" applyNumberFormat="1" applyBorder="1" applyAlignment="1">
      <alignment horizontal="centerContinuous" vertical="center"/>
    </xf>
    <xf numFmtId="169" fontId="0" fillId="0" borderId="19" xfId="0" applyNumberFormat="1" applyBorder="1" applyAlignment="1">
      <alignment horizontal="center" vertical="center"/>
    </xf>
    <xf numFmtId="43" fontId="0" fillId="0" borderId="19" xfId="1" applyFont="1" applyBorder="1" applyAlignment="1">
      <alignment horizontal="left" vertical="center"/>
    </xf>
    <xf numFmtId="9" fontId="0" fillId="0" borderId="16" xfId="2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5" xfId="0" applyFont="1" applyFill="1" applyBorder="1" applyAlignment="1">
      <alignment horizontal="centerContinuous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0" fillId="0" borderId="24" xfId="1" applyFont="1" applyBorder="1" applyAlignment="1">
      <alignment horizontal="left" vertical="center"/>
    </xf>
    <xf numFmtId="167" fontId="0" fillId="0" borderId="18" xfId="2" applyNumberFormat="1" applyFont="1" applyBorder="1" applyAlignment="1">
      <alignment horizontal="right" vertical="center" indent="1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167" fontId="0" fillId="0" borderId="4" xfId="2" applyNumberFormat="1" applyFont="1" applyBorder="1" applyAlignment="1">
      <alignment horizontal="right" vertical="center" indent="1"/>
    </xf>
    <xf numFmtId="0" fontId="3" fillId="2" borderId="21" xfId="0" applyFont="1" applyFill="1" applyBorder="1" applyAlignment="1">
      <alignment horizontal="centerContinuous" vertical="center"/>
    </xf>
    <xf numFmtId="0" fontId="3" fillId="2" borderId="22" xfId="0" applyFont="1" applyFill="1" applyBorder="1" applyAlignment="1">
      <alignment horizontal="centerContinuous" vertical="center" wrapText="1"/>
    </xf>
    <xf numFmtId="0" fontId="3" fillId="2" borderId="23" xfId="0" applyFont="1" applyFill="1" applyBorder="1" applyAlignment="1">
      <alignment horizontal="centerContinuous" vertical="center"/>
    </xf>
    <xf numFmtId="43" fontId="0" fillId="0" borderId="24" xfId="1" applyFont="1" applyBorder="1" applyAlignment="1">
      <alignment horizontal="centerContinuous" vertical="center"/>
    </xf>
    <xf numFmtId="43" fontId="0" fillId="0" borderId="8" xfId="1" applyFont="1" applyBorder="1" applyAlignment="1">
      <alignment horizontal="centerContinuous" vertical="center"/>
    </xf>
    <xf numFmtId="167" fontId="2" fillId="0" borderId="22" xfId="1" applyNumberFormat="1" applyFont="1" applyFill="1" applyBorder="1" applyAlignment="1">
      <alignment horizontal="center" vertical="center"/>
    </xf>
    <xf numFmtId="43" fontId="0" fillId="0" borderId="14" xfId="1" applyFont="1" applyBorder="1" applyAlignment="1">
      <alignment horizontal="centerContinuous" vertical="center"/>
    </xf>
    <xf numFmtId="167" fontId="2" fillId="0" borderId="25" xfId="1" applyNumberFormat="1" applyFont="1" applyFill="1" applyBorder="1" applyAlignment="1">
      <alignment horizontal="center" vertical="center"/>
    </xf>
    <xf numFmtId="167" fontId="0" fillId="0" borderId="1" xfId="2" applyNumberFormat="1" applyFont="1" applyBorder="1" applyAlignment="1">
      <alignment horizontal="right" vertical="center" indent="1"/>
    </xf>
    <xf numFmtId="0" fontId="3" fillId="2" borderId="23" xfId="0" applyFont="1" applyFill="1" applyBorder="1" applyAlignment="1">
      <alignment horizontal="centerContinuous" vertical="center" wrapText="1"/>
    </xf>
    <xf numFmtId="168" fontId="0" fillId="0" borderId="16" xfId="1" applyNumberFormat="1" applyFont="1" applyBorder="1" applyAlignment="1">
      <alignment horizontal="centerContinuous" vertical="center"/>
    </xf>
    <xf numFmtId="168" fontId="0" fillId="0" borderId="5" xfId="1" applyNumberFormat="1" applyFont="1" applyBorder="1" applyAlignment="1">
      <alignment horizontal="centerContinuous" vertical="center"/>
    </xf>
    <xf numFmtId="167" fontId="0" fillId="0" borderId="9" xfId="2" applyNumberFormat="1" applyFont="1" applyBorder="1" applyAlignment="1">
      <alignment horizontal="right" vertical="center" indent="1"/>
    </xf>
    <xf numFmtId="168" fontId="0" fillId="0" borderId="19" xfId="1" applyNumberFormat="1" applyFont="1" applyBorder="1" applyAlignment="1">
      <alignment horizontal="centerContinuous" vertical="center"/>
    </xf>
    <xf numFmtId="167" fontId="0" fillId="0" borderId="20" xfId="2" applyNumberFormat="1" applyFont="1" applyBorder="1" applyAlignment="1">
      <alignment horizontal="right" vertical="center" indent="1"/>
    </xf>
    <xf numFmtId="43" fontId="0" fillId="0" borderId="24" xfId="4" applyFont="1" applyBorder="1" applyAlignment="1">
      <alignment horizontal="centerContinuous" vertical="center"/>
    </xf>
    <xf numFmtId="43" fontId="0" fillId="0" borderId="18" xfId="4" applyFont="1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43" fontId="0" fillId="0" borderId="3" xfId="4" applyFont="1" applyBorder="1" applyAlignment="1">
      <alignment horizontal="centerContinuous" vertical="center"/>
    </xf>
    <xf numFmtId="43" fontId="0" fillId="0" borderId="4" xfId="4" applyFon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43" fontId="0" fillId="0" borderId="25" xfId="4" applyFont="1" applyBorder="1" applyAlignment="1">
      <alignment horizontal="centerContinuous" vertical="center"/>
    </xf>
    <xf numFmtId="167" fontId="0" fillId="0" borderId="5" xfId="2" applyNumberFormat="1" applyFont="1" applyFill="1" applyBorder="1" applyAlignment="1">
      <alignment horizontal="right" vertical="center" indent="1"/>
    </xf>
    <xf numFmtId="9" fontId="0" fillId="0" borderId="19" xfId="2" applyFont="1" applyBorder="1" applyAlignment="1">
      <alignment horizontal="center" vertical="center"/>
    </xf>
    <xf numFmtId="167" fontId="0" fillId="0" borderId="19" xfId="2" applyNumberFormat="1" applyFont="1" applyFill="1" applyBorder="1" applyAlignment="1">
      <alignment horizontal="right" vertical="center" indent="1"/>
    </xf>
    <xf numFmtId="0" fontId="3" fillId="2" borderId="3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left" vertical="center"/>
    </xf>
    <xf numFmtId="2" fontId="0" fillId="0" borderId="6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9" fontId="0" fillId="0" borderId="19" xfId="2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68" fontId="0" fillId="0" borderId="19" xfId="1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17" xfId="0" quotePrefix="1" applyBorder="1" applyAlignment="1">
      <alignment horizontal="center" vertical="center" wrapText="1"/>
    </xf>
    <xf numFmtId="0" fontId="0" fillId="0" borderId="24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 wrapText="1"/>
    </xf>
    <xf numFmtId="0" fontId="0" fillId="0" borderId="14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4" xfId="0" quotePrefix="1" applyBorder="1" applyAlignment="1">
      <alignment horizontal="center" vertical="center" wrapText="1"/>
    </xf>
    <xf numFmtId="0" fontId="0" fillId="0" borderId="20" xfId="0" quotePrefix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FCC145A-F961-4CA5-BEBA-F5A04E425F82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8.xlsx" TargetMode="External"/><Relationship Id="rId2" Type="http://schemas.openxmlformats.org/officeDocument/2006/relationships/externalLinkPath" Target="file:///C:\Users\rbasak\Desktop\28.xlsx" TargetMode="External"/><Relationship Id="rId1" Type="http://schemas.openxmlformats.org/officeDocument/2006/relationships/externalLinkPath" Target="/Users/rbasak/Desktop/2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A30" sqref="A30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218" t="s">
        <v>0</v>
      </c>
      <c r="B5" s="218"/>
      <c r="C5" s="218"/>
      <c r="D5" s="218"/>
      <c r="E5" s="218"/>
      <c r="F5" s="218"/>
      <c r="G5" s="218"/>
      <c r="H5" s="218"/>
      <c r="I5" s="218"/>
      <c r="J5" s="218"/>
    </row>
    <row r="6" spans="1:10" s="2" customFormat="1" ht="29.4" x14ac:dyDescent="0.55000000000000004">
      <c r="A6" s="218" t="s">
        <v>1</v>
      </c>
      <c r="B6" s="218"/>
      <c r="C6" s="218"/>
      <c r="D6" s="218"/>
      <c r="E6" s="218"/>
      <c r="F6" s="218"/>
      <c r="G6" s="218"/>
      <c r="H6" s="218"/>
      <c r="I6" s="218"/>
      <c r="J6" s="218"/>
    </row>
    <row r="7" spans="1:10" s="2" customFormat="1" ht="29.4" customHeight="1" x14ac:dyDescent="0.35">
      <c r="A7" s="217" t="s">
        <v>1034</v>
      </c>
      <c r="B7" s="217"/>
      <c r="C7" s="217"/>
      <c r="D7" s="217"/>
      <c r="E7" s="217"/>
      <c r="F7" s="217"/>
      <c r="G7" s="217"/>
      <c r="H7" s="217"/>
      <c r="I7" s="217"/>
      <c r="J7" s="217"/>
    </row>
    <row r="8" spans="1:10" s="2" customFormat="1" ht="29.4" customHeight="1" x14ac:dyDescent="0.35">
      <c r="A8" s="217"/>
      <c r="B8" s="217"/>
      <c r="C8" s="217"/>
      <c r="D8" s="217"/>
      <c r="E8" s="217"/>
      <c r="F8" s="217"/>
      <c r="G8" s="217"/>
      <c r="H8" s="217"/>
      <c r="I8" s="217"/>
      <c r="J8" s="217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217" t="s">
        <v>2</v>
      </c>
      <c r="B12" s="217"/>
      <c r="C12" s="217"/>
      <c r="D12" s="217"/>
      <c r="E12" s="217"/>
      <c r="F12" s="217"/>
      <c r="G12" s="217"/>
      <c r="H12" s="217"/>
      <c r="I12" s="217"/>
      <c r="J12" s="217"/>
    </row>
    <row r="13" spans="1:10" s="1" customFormat="1" ht="22.95" customHeight="1" x14ac:dyDescent="0.3">
      <c r="A13" s="217"/>
      <c r="B13" s="217"/>
      <c r="C13" s="217"/>
      <c r="D13" s="217"/>
      <c r="E13" s="217"/>
      <c r="F13" s="217"/>
      <c r="G13" s="217"/>
      <c r="H13" s="217"/>
      <c r="I13" s="217"/>
      <c r="J13" s="217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219">
        <f>+İcmal!C15</f>
        <v>5</v>
      </c>
      <c r="B24" s="219"/>
      <c r="C24" s="219"/>
      <c r="D24" s="219"/>
      <c r="E24" s="219"/>
      <c r="F24" s="219"/>
      <c r="G24" s="219"/>
      <c r="H24" s="219"/>
      <c r="I24" s="219"/>
      <c r="J24" s="219"/>
    </row>
    <row r="28" spans="1:10" ht="15" customHeight="1" x14ac:dyDescent="0.3">
      <c r="A28" s="216" t="s">
        <v>1058</v>
      </c>
      <c r="B28" s="216"/>
      <c r="C28" s="216"/>
      <c r="D28" s="216"/>
      <c r="E28" s="216"/>
      <c r="F28" s="216"/>
      <c r="G28" s="216"/>
      <c r="H28" s="216"/>
      <c r="I28" s="216"/>
      <c r="J28" s="216"/>
    </row>
    <row r="29" spans="1:10" ht="15" customHeight="1" x14ac:dyDescent="0.3">
      <c r="A29" s="216"/>
      <c r="B29" s="216"/>
      <c r="C29" s="216"/>
      <c r="D29" s="216"/>
      <c r="E29" s="216"/>
      <c r="F29" s="216"/>
      <c r="G29" s="216"/>
      <c r="H29" s="216"/>
      <c r="I29" s="216"/>
      <c r="J29" s="216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216" t="s">
        <v>3</v>
      </c>
      <c r="B33" s="216"/>
      <c r="C33" s="216"/>
      <c r="D33" s="216"/>
      <c r="E33" s="216"/>
      <c r="F33" s="216"/>
      <c r="G33" s="216"/>
      <c r="H33" s="216"/>
      <c r="I33" s="216"/>
      <c r="J33" s="216"/>
    </row>
    <row r="34" spans="1:10" ht="15" customHeight="1" x14ac:dyDescent="0.3">
      <c r="A34" s="216"/>
      <c r="B34" s="216"/>
      <c r="C34" s="216"/>
      <c r="D34" s="216"/>
      <c r="E34" s="216"/>
      <c r="F34" s="216"/>
      <c r="G34" s="216"/>
      <c r="H34" s="216"/>
      <c r="I34" s="216"/>
      <c r="J34" s="216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H87"/>
  <sheetViews>
    <sheetView view="pageBreakPreview" topLeftCell="H1" zoomScale="80" zoomScaleNormal="100" zoomScaleSheetLayoutView="80" workbookViewId="0">
      <selection activeCell="J20" sqref="J20:J49"/>
    </sheetView>
  </sheetViews>
  <sheetFormatPr defaultColWidth="8.88671875" defaultRowHeight="15" customHeight="1" x14ac:dyDescent="0.3"/>
  <cols>
    <col min="1" max="1" width="5.6640625" style="9" hidden="1" customWidth="1"/>
    <col min="2" max="9" width="13.33203125" style="9" customWidth="1"/>
    <col min="10" max="10" width="21" style="9" bestFit="1" customWidth="1"/>
    <col min="11" max="11" width="16.77734375" style="9" bestFit="1" customWidth="1"/>
    <col min="12" max="12" width="21.77734375" style="9" bestFit="1" customWidth="1"/>
    <col min="13" max="13" width="5.6640625" style="9" customWidth="1"/>
    <col min="14" max="14" width="14.6640625" style="9" bestFit="1" customWidth="1"/>
    <col min="15" max="15" width="8.88671875" style="9"/>
    <col min="16" max="16" width="9.33203125" style="9" bestFit="1" customWidth="1"/>
    <col min="17" max="18" width="11" style="9" bestFit="1" customWidth="1"/>
    <col min="19" max="19" width="9.33203125" style="9" bestFit="1" customWidth="1"/>
    <col min="20" max="21" width="8.88671875" style="9"/>
    <col min="22" max="22" width="9.6640625" style="9" customWidth="1"/>
    <col min="23" max="16384" width="8.88671875" style="9"/>
  </cols>
  <sheetData>
    <row r="1" spans="1:14" ht="15" customHeight="1" x14ac:dyDescent="0.3">
      <c r="N1" s="28">
        <f>+Liste!H485</f>
        <v>57536707.721000001</v>
      </c>
    </row>
    <row r="5" spans="1:14" s="181" customFormat="1" ht="15" customHeight="1" x14ac:dyDescent="0.3">
      <c r="A5" s="188" t="s">
        <v>0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</row>
    <row r="6" spans="1:14" s="181" customFormat="1" ht="15" customHeight="1" x14ac:dyDescent="0.3">
      <c r="A6" s="188" t="s">
        <v>1</v>
      </c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</row>
    <row r="7" spans="1:14" s="181" customFormat="1" ht="15" customHeight="1" x14ac:dyDescent="0.3">
      <c r="A7" s="188" t="s">
        <v>1034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</row>
    <row r="8" spans="1:14" s="181" customFormat="1" ht="15" customHeight="1" x14ac:dyDescent="0.3">
      <c r="A8" s="180"/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</row>
    <row r="9" spans="1:14" s="181" customFormat="1" ht="15" customHeight="1" x14ac:dyDescent="0.3">
      <c r="A9" s="182"/>
    </row>
    <row r="10" spans="1:14" s="181" customFormat="1" ht="15" customHeight="1" x14ac:dyDescent="0.3">
      <c r="A10" s="188" t="s">
        <v>2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</row>
    <row r="11" spans="1:14" s="181" customFormat="1" ht="15" customHeight="1" x14ac:dyDescent="0.3">
      <c r="A11" s="182"/>
    </row>
    <row r="12" spans="1:14" s="181" customFormat="1" ht="15" customHeight="1" x14ac:dyDescent="0.3">
      <c r="A12" s="188" t="str">
        <f>+Kapak!A28</f>
        <v>Barbaros İstasyonu Hat - 1 Halkalı Yönü P1 Tüneli 1.Aşama</v>
      </c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</row>
    <row r="13" spans="1:14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5" spans="1:14" ht="15" customHeight="1" x14ac:dyDescent="0.3">
      <c r="B15" s="14" t="s">
        <v>5</v>
      </c>
      <c r="C15" s="12">
        <f>+[3]Veri!$C$21</f>
        <v>5</v>
      </c>
      <c r="D15" s="12"/>
      <c r="E15" s="12"/>
    </row>
    <row r="16" spans="1:14" ht="15" customHeight="1" x14ac:dyDescent="0.3">
      <c r="B16" s="14" t="s">
        <v>6</v>
      </c>
      <c r="C16" s="13">
        <f>+[3]Veri!$C$22</f>
        <v>46112</v>
      </c>
      <c r="D16" s="11"/>
      <c r="E16" s="11"/>
    </row>
    <row r="17" spans="2:34" ht="15" customHeight="1" x14ac:dyDescent="0.3">
      <c r="B17" s="14"/>
      <c r="C17" s="13"/>
      <c r="D17" s="11"/>
      <c r="E17" s="11"/>
    </row>
    <row r="18" spans="2:34" ht="15" customHeight="1" x14ac:dyDescent="0.3">
      <c r="O18" s="20" t="s">
        <v>1036</v>
      </c>
      <c r="P18" s="20" t="s">
        <v>1036</v>
      </c>
      <c r="Q18" s="20" t="s">
        <v>1036</v>
      </c>
      <c r="R18" s="20" t="s">
        <v>1036</v>
      </c>
      <c r="S18" s="20" t="s">
        <v>1036</v>
      </c>
      <c r="T18" s="20" t="s">
        <v>1036</v>
      </c>
      <c r="U18" s="20" t="s">
        <v>1036</v>
      </c>
      <c r="V18" s="20" t="s">
        <v>1036</v>
      </c>
      <c r="W18" s="20" t="s">
        <v>1036</v>
      </c>
      <c r="X18" s="20" t="s">
        <v>1036</v>
      </c>
      <c r="Y18" s="20" t="s">
        <v>1036</v>
      </c>
      <c r="Z18" s="20" t="s">
        <v>1036</v>
      </c>
      <c r="AA18" s="20" t="s">
        <v>1036</v>
      </c>
      <c r="AB18" s="20" t="s">
        <v>1036</v>
      </c>
      <c r="AC18" s="20" t="s">
        <v>1036</v>
      </c>
      <c r="AD18" s="20" t="s">
        <v>1036</v>
      </c>
      <c r="AE18" s="20" t="s">
        <v>1036</v>
      </c>
      <c r="AF18" s="20" t="s">
        <v>1036</v>
      </c>
      <c r="AG18" s="20" t="s">
        <v>1036</v>
      </c>
      <c r="AH18" s="20" t="s">
        <v>1036</v>
      </c>
    </row>
    <row r="19" spans="2:34" ht="30" customHeight="1" x14ac:dyDescent="0.3">
      <c r="B19" s="15" t="s">
        <v>7</v>
      </c>
      <c r="C19" s="222" t="s">
        <v>8</v>
      </c>
      <c r="D19" s="222"/>
      <c r="E19" s="222"/>
      <c r="F19" s="222"/>
      <c r="G19" s="222"/>
      <c r="H19" s="223"/>
      <c r="I19" s="44" t="s">
        <v>9</v>
      </c>
      <c r="J19" s="177" t="s">
        <v>1084</v>
      </c>
      <c r="K19" s="177" t="s">
        <v>1085</v>
      </c>
      <c r="L19" s="16" t="s">
        <v>1086</v>
      </c>
      <c r="O19" s="21" t="s">
        <v>1037</v>
      </c>
      <c r="P19" s="21" t="s">
        <v>1038</v>
      </c>
      <c r="Q19" s="21" t="s">
        <v>1040</v>
      </c>
      <c r="R19" s="21" t="s">
        <v>1041</v>
      </c>
      <c r="S19" s="21" t="s">
        <v>1042</v>
      </c>
      <c r="T19" s="21" t="s">
        <v>1043</v>
      </c>
      <c r="U19" s="21" t="s">
        <v>1044</v>
      </c>
      <c r="V19" s="21" t="s">
        <v>1045</v>
      </c>
      <c r="W19" s="21" t="s">
        <v>1046</v>
      </c>
      <c r="X19" s="21" t="s">
        <v>1047</v>
      </c>
      <c r="Y19" s="21" t="s">
        <v>1048</v>
      </c>
      <c r="Z19" s="21" t="s">
        <v>1049</v>
      </c>
      <c r="AA19" s="21" t="s">
        <v>1050</v>
      </c>
      <c r="AB19" s="21" t="s">
        <v>1051</v>
      </c>
      <c r="AC19" s="21" t="s">
        <v>1052</v>
      </c>
      <c r="AD19" s="21" t="s">
        <v>1053</v>
      </c>
      <c r="AE19" s="21" t="s">
        <v>1054</v>
      </c>
      <c r="AF19" s="21" t="s">
        <v>1055</v>
      </c>
      <c r="AG19" s="21" t="s">
        <v>1056</v>
      </c>
      <c r="AH19" s="21" t="s">
        <v>1057</v>
      </c>
    </row>
    <row r="20" spans="2:34" ht="30" customHeight="1" x14ac:dyDescent="0.3">
      <c r="B20" s="29" t="s">
        <v>119</v>
      </c>
      <c r="C20" s="220" t="str">
        <f>+VLOOKUP(B20,Liste!B:E,2,FALSE)</f>
        <v>Geleneksel (NATM) Tünel Kazısı</v>
      </c>
      <c r="D20" s="220"/>
      <c r="E20" s="220"/>
      <c r="F20" s="220"/>
      <c r="G20" s="220"/>
      <c r="H20" s="221"/>
      <c r="I20" s="22" t="s">
        <v>22</v>
      </c>
      <c r="J20" s="92">
        <v>2044.3040000000001</v>
      </c>
      <c r="K20" s="178">
        <f>+L20-J20</f>
        <v>0</v>
      </c>
      <c r="L20" s="71">
        <f>+IFERROR(VLOOKUP(B20,Metraj!B:P,15,FALSE),"0")</f>
        <v>2044.3040000000001</v>
      </c>
      <c r="O20" s="81"/>
      <c r="P20" s="71"/>
      <c r="Q20" s="71">
        <v>591.59400000000005</v>
      </c>
      <c r="R20" s="71">
        <v>804.50199999999984</v>
      </c>
      <c r="S20" s="71">
        <v>638.07000000000005</v>
      </c>
      <c r="T20" s="71">
        <v>10.138</v>
      </c>
      <c r="U20" s="71"/>
      <c r="V20" s="71">
        <v>0</v>
      </c>
      <c r="W20" s="71">
        <v>0</v>
      </c>
      <c r="X20" s="71">
        <v>0</v>
      </c>
      <c r="Y20" s="71">
        <v>0</v>
      </c>
      <c r="Z20" s="71">
        <f>$L20-SUM($O20:Y20)</f>
        <v>0</v>
      </c>
      <c r="AA20" s="71">
        <f>$L20-SUM($O20:Z20)</f>
        <v>0</v>
      </c>
      <c r="AB20" s="71">
        <f>$L20-SUM($O20:AA20)</f>
        <v>0</v>
      </c>
      <c r="AC20" s="71">
        <f>$L20-SUM($O20:AB20)</f>
        <v>0</v>
      </c>
      <c r="AD20" s="71">
        <f>$L20-SUM($O20:AC20)</f>
        <v>0</v>
      </c>
      <c r="AE20" s="71">
        <f>$L20-SUM($O20:AD20)</f>
        <v>0</v>
      </c>
      <c r="AF20" s="71">
        <f>$L20-SUM($O20:AE20)</f>
        <v>0</v>
      </c>
      <c r="AG20" s="71">
        <f>$L20-SUM($O20:AF20)</f>
        <v>0</v>
      </c>
      <c r="AH20" s="71">
        <f>$L20-SUM($O20:AG20)</f>
        <v>0</v>
      </c>
    </row>
    <row r="21" spans="2:34" ht="30" customHeight="1" x14ac:dyDescent="0.3">
      <c r="B21" s="29" t="s">
        <v>121</v>
      </c>
      <c r="C21" s="220" t="str">
        <f>+VLOOKUP(B21,Liste!B:E,2,FALSE)</f>
        <v>Kazıdan çıkan veya Ariyetten alınan malzeme ile geri dolgu yapılması</v>
      </c>
      <c r="D21" s="220"/>
      <c r="E21" s="220"/>
      <c r="F21" s="220"/>
      <c r="G21" s="220"/>
      <c r="H21" s="221"/>
      <c r="I21" s="22" t="s">
        <v>22</v>
      </c>
      <c r="J21" s="92" t="s">
        <v>1098</v>
      </c>
      <c r="K21" s="178" t="e">
        <f t="shared" ref="K21:K49" si="0">+L21-J21</f>
        <v>#VALUE!</v>
      </c>
      <c r="L21" s="71" t="str">
        <f>+IFERROR(VLOOKUP(B21,Metraj!B:P,15,FALSE),"")</f>
        <v/>
      </c>
      <c r="O21" s="81"/>
      <c r="P21" s="71"/>
      <c r="Q21" s="71"/>
      <c r="R21" s="71"/>
      <c r="S21" s="71"/>
      <c r="T21" s="71"/>
      <c r="U21" s="71"/>
      <c r="V21" s="71">
        <v>0</v>
      </c>
      <c r="W21" s="71">
        <v>0</v>
      </c>
      <c r="X21" s="71">
        <v>0</v>
      </c>
      <c r="Y21" s="71">
        <v>0</v>
      </c>
      <c r="Z21" s="71">
        <f>+IFERROR($L21-SUM($O21:Y21),0)</f>
        <v>0</v>
      </c>
      <c r="AA21" s="71">
        <f>+IFERROR($L21-SUM($O21:Z21),0)</f>
        <v>0</v>
      </c>
      <c r="AB21" s="71">
        <f>+IFERROR($L21-SUM($O21:AA21),0)</f>
        <v>0</v>
      </c>
      <c r="AC21" s="71">
        <f>+IFERROR($L21-SUM($O21:AB21),0)</f>
        <v>0</v>
      </c>
      <c r="AD21" s="71">
        <f>+IFERROR($L21-SUM($O21:AC21),0)</f>
        <v>0</v>
      </c>
      <c r="AE21" s="71">
        <f>+IFERROR($L21-SUM($O21:AD21),0)</f>
        <v>0</v>
      </c>
      <c r="AF21" s="71">
        <f>+IFERROR($L21-SUM($O21:AE21),0)</f>
        <v>0</v>
      </c>
      <c r="AG21" s="71">
        <f>+IFERROR($L21-SUM($O21:AF21),0)</f>
        <v>0</v>
      </c>
      <c r="AH21" s="71">
        <f>+IFERROR($L21-SUM($O21:AG21),0)</f>
        <v>0</v>
      </c>
    </row>
    <row r="22" spans="2:34" ht="30" customHeight="1" x14ac:dyDescent="0.3">
      <c r="B22" s="29" t="s">
        <v>123</v>
      </c>
      <c r="C22" s="220" t="str">
        <f>+VLOOKUP(B22,Liste!B:E,2,FALSE)</f>
        <v>Kum, Çakıl, Kırma Tas ve Benzeri Malzeme ile Dolgu Yapılması</v>
      </c>
      <c r="D22" s="220"/>
      <c r="E22" s="220"/>
      <c r="F22" s="220"/>
      <c r="G22" s="220"/>
      <c r="H22" s="221"/>
      <c r="I22" s="22" t="s">
        <v>22</v>
      </c>
      <c r="J22" s="92" t="s">
        <v>1098</v>
      </c>
      <c r="K22" s="178" t="e">
        <f t="shared" si="0"/>
        <v>#VALUE!</v>
      </c>
      <c r="L22" s="71" t="str">
        <f>+IFERROR(VLOOKUP(B22,Metraj!B:P,15,FALSE),"")</f>
        <v/>
      </c>
      <c r="O22" s="81"/>
      <c r="P22" s="71"/>
      <c r="Q22" s="71"/>
      <c r="R22" s="71"/>
      <c r="S22" s="71"/>
      <c r="T22" s="71"/>
      <c r="U22" s="71"/>
      <c r="V22" s="71">
        <v>0</v>
      </c>
      <c r="W22" s="71">
        <v>0</v>
      </c>
      <c r="X22" s="71">
        <v>0</v>
      </c>
      <c r="Y22" s="71">
        <v>0</v>
      </c>
      <c r="Z22" s="71">
        <f>+IFERROR($L22-SUM($O22:Y22),0)</f>
        <v>0</v>
      </c>
      <c r="AA22" s="71">
        <f>+IFERROR($L22-SUM($O22:Z22),0)</f>
        <v>0</v>
      </c>
      <c r="AB22" s="71">
        <f>+IFERROR($L22-SUM($O22:AA22),0)</f>
        <v>0</v>
      </c>
      <c r="AC22" s="71">
        <f>+IFERROR($L22-SUM($O22:AB22),0)</f>
        <v>0</v>
      </c>
      <c r="AD22" s="71">
        <f>+IFERROR($L22-SUM($O22:AC22),0)</f>
        <v>0</v>
      </c>
      <c r="AE22" s="71">
        <f>+IFERROR($L22-SUM($O22:AD22),0)</f>
        <v>0</v>
      </c>
      <c r="AF22" s="71">
        <f>+IFERROR($L22-SUM($O22:AE22),0)</f>
        <v>0</v>
      </c>
      <c r="AG22" s="71">
        <f>+IFERROR($L22-SUM($O22:AF22),0)</f>
        <v>0</v>
      </c>
      <c r="AH22" s="71">
        <f>+IFERROR($L22-SUM($O22:AG22),0)</f>
        <v>0</v>
      </c>
    </row>
    <row r="23" spans="2:34" ht="30" customHeight="1" x14ac:dyDescent="0.3">
      <c r="B23" s="29" t="s">
        <v>124</v>
      </c>
      <c r="C23" s="220" t="str">
        <f>+VLOOKUP(B23,Liste!B:E,2,FALSE)</f>
        <v>Püskürtme Beton (Tünel ve Şaftlarda)</v>
      </c>
      <c r="D23" s="220"/>
      <c r="E23" s="220"/>
      <c r="F23" s="220"/>
      <c r="G23" s="220"/>
      <c r="H23" s="221"/>
      <c r="I23" s="22" t="s">
        <v>22</v>
      </c>
      <c r="J23" s="92">
        <v>496.02699999999999</v>
      </c>
      <c r="K23" s="178">
        <f t="shared" si="0"/>
        <v>0</v>
      </c>
      <c r="L23" s="71">
        <f>+IFERROR(VLOOKUP(B23,Metraj!B:P,15,FALSE),"0")</f>
        <v>496.02699999999999</v>
      </c>
      <c r="O23" s="81"/>
      <c r="P23" s="71"/>
      <c r="Q23" s="71">
        <v>126.86500000000002</v>
      </c>
      <c r="R23" s="71">
        <v>184.86300000000003</v>
      </c>
      <c r="S23" s="71">
        <v>149.73800000000003</v>
      </c>
      <c r="T23" s="71">
        <v>10.653999999999998</v>
      </c>
      <c r="U23" s="71"/>
      <c r="V23" s="71">
        <v>23.094999999999857</v>
      </c>
      <c r="W23" s="71">
        <v>0.81200000000001182</v>
      </c>
      <c r="X23" s="71">
        <v>0</v>
      </c>
      <c r="Y23" s="71">
        <v>0</v>
      </c>
      <c r="Z23" s="71">
        <f>$L23-SUM($O23:Y23)</f>
        <v>0</v>
      </c>
      <c r="AA23" s="71">
        <f>$L23-SUM($O23:Z23)</f>
        <v>0</v>
      </c>
      <c r="AB23" s="71">
        <f>$L23-SUM($O23:AA23)</f>
        <v>0</v>
      </c>
      <c r="AC23" s="71">
        <f>$L23-SUM($O23:AB23)</f>
        <v>0</v>
      </c>
      <c r="AD23" s="71">
        <f>$L23-SUM($O23:AC23)</f>
        <v>0</v>
      </c>
      <c r="AE23" s="71">
        <f>$L23-SUM($O23:AD23)</f>
        <v>0</v>
      </c>
      <c r="AF23" s="71">
        <f>$L23-SUM($O23:AE23)</f>
        <v>0</v>
      </c>
      <c r="AG23" s="71">
        <f>$L23-SUM($O23:AF23)</f>
        <v>0</v>
      </c>
      <c r="AH23" s="71">
        <f>$L23-SUM($O23:AG23)</f>
        <v>0</v>
      </c>
    </row>
    <row r="24" spans="2:34" ht="30" customHeight="1" x14ac:dyDescent="0.3">
      <c r="B24" s="29" t="s">
        <v>126</v>
      </c>
      <c r="C24" s="220" t="str">
        <f>+VLOOKUP(B24,Liste!B:E,2,FALSE)</f>
        <v>Delgi boyu =&lt; 30m</v>
      </c>
      <c r="D24" s="220"/>
      <c r="E24" s="220"/>
      <c r="F24" s="220"/>
      <c r="G24" s="220"/>
      <c r="H24" s="221"/>
      <c r="I24" s="22" t="s">
        <v>37</v>
      </c>
      <c r="J24" s="92" t="s">
        <v>1098</v>
      </c>
      <c r="K24" s="178" t="e">
        <f t="shared" si="0"/>
        <v>#VALUE!</v>
      </c>
      <c r="L24" s="71" t="str">
        <f>+IFERROR(VLOOKUP(B24,Metraj!B:P,15,FALSE),"")</f>
        <v/>
      </c>
      <c r="O24" s="81"/>
      <c r="P24" s="71"/>
      <c r="Q24" s="71"/>
      <c r="R24" s="71"/>
      <c r="S24" s="71"/>
      <c r="T24" s="71"/>
      <c r="U24" s="71"/>
      <c r="V24" s="71">
        <v>0</v>
      </c>
      <c r="W24" s="71">
        <v>0</v>
      </c>
      <c r="X24" s="71">
        <v>0</v>
      </c>
      <c r="Y24" s="71">
        <v>0</v>
      </c>
      <c r="Z24" s="71">
        <f>+IFERROR($L24-SUM($O24:Y24),0)</f>
        <v>0</v>
      </c>
      <c r="AA24" s="71">
        <f>+IFERROR($L24-SUM($O24:Z24),0)</f>
        <v>0</v>
      </c>
      <c r="AB24" s="71">
        <f>+IFERROR($L24-SUM($O24:AA24),0)</f>
        <v>0</v>
      </c>
      <c r="AC24" s="71">
        <f>+IFERROR($L24-SUM($O24:AB24),0)</f>
        <v>0</v>
      </c>
      <c r="AD24" s="71">
        <f>+IFERROR($L24-SUM($O24:AC24),0)</f>
        <v>0</v>
      </c>
      <c r="AE24" s="71">
        <f>+IFERROR($L24-SUM($O24:AD24),0)</f>
        <v>0</v>
      </c>
      <c r="AF24" s="71">
        <f>+IFERROR($L24-SUM($O24:AE24),0)</f>
        <v>0</v>
      </c>
      <c r="AG24" s="71">
        <f>+IFERROR($L24-SUM($O24:AF24),0)</f>
        <v>0</v>
      </c>
      <c r="AH24" s="71">
        <f>+IFERROR($L24-SUM($O24:AG24),0)</f>
        <v>0</v>
      </c>
    </row>
    <row r="25" spans="2:34" ht="30" customHeight="1" x14ac:dyDescent="0.3">
      <c r="B25" s="29" t="s">
        <v>128</v>
      </c>
      <c r="C25" s="220" t="str">
        <f>+VLOOKUP(B25,Liste!B:E,2,FALSE)</f>
        <v>Delgi boyu &gt; 30m</v>
      </c>
      <c r="D25" s="220"/>
      <c r="E25" s="220"/>
      <c r="F25" s="220"/>
      <c r="G25" s="220"/>
      <c r="H25" s="221"/>
      <c r="I25" s="22" t="s">
        <v>37</v>
      </c>
      <c r="J25" s="92" t="s">
        <v>1098</v>
      </c>
      <c r="K25" s="178" t="e">
        <f t="shared" si="0"/>
        <v>#VALUE!</v>
      </c>
      <c r="L25" s="71" t="str">
        <f>+IFERROR(VLOOKUP(B25,Metraj!B:P,15,FALSE),"")</f>
        <v/>
      </c>
      <c r="O25" s="81"/>
      <c r="P25" s="71"/>
      <c r="Q25" s="71"/>
      <c r="R25" s="71"/>
      <c r="S25" s="71"/>
      <c r="T25" s="71"/>
      <c r="U25" s="71"/>
      <c r="V25" s="71">
        <v>0</v>
      </c>
      <c r="W25" s="71">
        <v>0</v>
      </c>
      <c r="X25" s="71">
        <v>0</v>
      </c>
      <c r="Y25" s="71">
        <v>0</v>
      </c>
      <c r="Z25" s="71">
        <f>+IFERROR($L25-SUM($O25:Y25),0)</f>
        <v>0</v>
      </c>
      <c r="AA25" s="71">
        <f>+IFERROR($L25-SUM($O25:Z25),0)</f>
        <v>0</v>
      </c>
      <c r="AB25" s="71">
        <f>+IFERROR($L25-SUM($O25:AA25),0)</f>
        <v>0</v>
      </c>
      <c r="AC25" s="71">
        <f>+IFERROR($L25-SUM($O25:AB25),0)</f>
        <v>0</v>
      </c>
      <c r="AD25" s="71">
        <f>+IFERROR($L25-SUM($O25:AC25),0)</f>
        <v>0</v>
      </c>
      <c r="AE25" s="71">
        <f>+IFERROR($L25-SUM($O25:AD25),0)</f>
        <v>0</v>
      </c>
      <c r="AF25" s="71">
        <f>+IFERROR($L25-SUM($O25:AE25),0)</f>
        <v>0</v>
      </c>
      <c r="AG25" s="71">
        <f>+IFERROR($L25-SUM($O25:AF25),0)</f>
        <v>0</v>
      </c>
      <c r="AH25" s="71">
        <f>+IFERROR($L25-SUM($O25:AG25),0)</f>
        <v>0</v>
      </c>
    </row>
    <row r="26" spans="2:34" ht="30" customHeight="1" x14ac:dyDescent="0.3">
      <c r="B26" s="29" t="s">
        <v>130</v>
      </c>
      <c r="C26" s="220" t="str">
        <f>+VLOOKUP(B26,Liste!B:E,2,FALSE)</f>
        <v>L=3 m Kaya Bulonu</v>
      </c>
      <c r="D26" s="220"/>
      <c r="E26" s="220"/>
      <c r="F26" s="220"/>
      <c r="G26" s="220"/>
      <c r="H26" s="221"/>
      <c r="I26" s="22" t="s">
        <v>42</v>
      </c>
      <c r="J26" s="92" t="s">
        <v>1098</v>
      </c>
      <c r="K26" s="178" t="e">
        <f t="shared" si="0"/>
        <v>#VALUE!</v>
      </c>
      <c r="L26" s="71" t="str">
        <f>+IFERROR(VLOOKUP(B26,Metraj!B:P,15,FALSE),"")</f>
        <v/>
      </c>
      <c r="O26" s="81"/>
      <c r="P26" s="71"/>
      <c r="Q26" s="71"/>
      <c r="R26" s="71"/>
      <c r="S26" s="71"/>
      <c r="T26" s="71"/>
      <c r="U26" s="71"/>
      <c r="V26" s="71">
        <v>0</v>
      </c>
      <c r="W26" s="71">
        <v>0</v>
      </c>
      <c r="X26" s="71">
        <v>0</v>
      </c>
      <c r="Y26" s="71">
        <v>0</v>
      </c>
      <c r="Z26" s="71">
        <f>+IFERROR($L26-SUM($O26:Y26),0)</f>
        <v>0</v>
      </c>
      <c r="AA26" s="71">
        <f>+IFERROR($L26-SUM($O26:Z26),0)</f>
        <v>0</v>
      </c>
      <c r="AB26" s="71">
        <f>+IFERROR($L26-SUM($O26:AA26),0)</f>
        <v>0</v>
      </c>
      <c r="AC26" s="71">
        <f>+IFERROR($L26-SUM($O26:AB26),0)</f>
        <v>0</v>
      </c>
      <c r="AD26" s="71">
        <f>+IFERROR($L26-SUM($O26:AC26),0)</f>
        <v>0</v>
      </c>
      <c r="AE26" s="71">
        <f>+IFERROR($L26-SUM($O26:AD26),0)</f>
        <v>0</v>
      </c>
      <c r="AF26" s="71">
        <f>+IFERROR($L26-SUM($O26:AE26),0)</f>
        <v>0</v>
      </c>
      <c r="AG26" s="71">
        <f>+IFERROR($L26-SUM($O26:AF26),0)</f>
        <v>0</v>
      </c>
      <c r="AH26" s="71">
        <f>+IFERROR($L26-SUM($O26:AG26),0)</f>
        <v>0</v>
      </c>
    </row>
    <row r="27" spans="2:34" ht="30" customHeight="1" x14ac:dyDescent="0.3">
      <c r="B27" s="29" t="s">
        <v>131</v>
      </c>
      <c r="C27" s="220" t="str">
        <f>+VLOOKUP(B27,Liste!B:E,2,FALSE)</f>
        <v>L=4 m Kaya Bulonu</v>
      </c>
      <c r="D27" s="220"/>
      <c r="E27" s="220"/>
      <c r="F27" s="220"/>
      <c r="G27" s="220"/>
      <c r="H27" s="221"/>
      <c r="I27" s="22" t="s">
        <v>42</v>
      </c>
      <c r="J27" s="92">
        <v>275</v>
      </c>
      <c r="K27" s="178">
        <f t="shared" si="0"/>
        <v>0</v>
      </c>
      <c r="L27" s="71">
        <f>+IFERROR(VLOOKUP(B27,Metraj!B:P,15,FALSE),"0")</f>
        <v>275</v>
      </c>
      <c r="O27" s="81"/>
      <c r="P27" s="71"/>
      <c r="Q27" s="71">
        <v>41</v>
      </c>
      <c r="R27" s="71">
        <v>85</v>
      </c>
      <c r="S27" s="71">
        <v>149</v>
      </c>
      <c r="T27" s="71"/>
      <c r="U27" s="71"/>
      <c r="V27" s="71">
        <v>0</v>
      </c>
      <c r="W27" s="71">
        <v>0</v>
      </c>
      <c r="X27" s="71">
        <v>0</v>
      </c>
      <c r="Y27" s="71">
        <v>0</v>
      </c>
      <c r="Z27" s="71">
        <f>$L27-SUM($O27:Y27)</f>
        <v>0</v>
      </c>
      <c r="AA27" s="71">
        <f>$L27-SUM($O27:Z27)</f>
        <v>0</v>
      </c>
      <c r="AB27" s="71">
        <f>$L27-SUM($O27:AA27)</f>
        <v>0</v>
      </c>
      <c r="AC27" s="71">
        <f>$L27-SUM($O27:AB27)</f>
        <v>0</v>
      </c>
      <c r="AD27" s="71">
        <f>$L27-SUM($O27:AC27)</f>
        <v>0</v>
      </c>
      <c r="AE27" s="71">
        <f>$L27-SUM($O27:AD27)</f>
        <v>0</v>
      </c>
      <c r="AF27" s="71">
        <f>$L27-SUM($O27:AE27)</f>
        <v>0</v>
      </c>
      <c r="AG27" s="71">
        <f>$L27-SUM($O27:AF27)</f>
        <v>0</v>
      </c>
      <c r="AH27" s="71">
        <f>$L27-SUM($O27:AG27)</f>
        <v>0</v>
      </c>
    </row>
    <row r="28" spans="2:34" ht="30" customHeight="1" x14ac:dyDescent="0.3">
      <c r="B28" s="29" t="s">
        <v>132</v>
      </c>
      <c r="C28" s="220" t="str">
        <f>+VLOOKUP(B28,Liste!B:E,2,FALSE)</f>
        <v>L=5 m Kaya Bulonu</v>
      </c>
      <c r="D28" s="220"/>
      <c r="E28" s="220"/>
      <c r="F28" s="220"/>
      <c r="G28" s="220"/>
      <c r="H28" s="221"/>
      <c r="I28" s="22" t="s">
        <v>42</v>
      </c>
      <c r="J28" s="92" t="s">
        <v>1098</v>
      </c>
      <c r="K28" s="178" t="e">
        <f t="shared" si="0"/>
        <v>#VALUE!</v>
      </c>
      <c r="L28" s="71" t="str">
        <f>+IFERROR(VLOOKUP(B28,Metraj!B:P,15,FALSE),"")</f>
        <v/>
      </c>
      <c r="O28" s="81"/>
      <c r="P28" s="71"/>
      <c r="Q28" s="71"/>
      <c r="R28" s="71"/>
      <c r="S28" s="71"/>
      <c r="T28" s="71"/>
      <c r="U28" s="71"/>
      <c r="V28" s="71">
        <v>0</v>
      </c>
      <c r="W28" s="71">
        <v>0</v>
      </c>
      <c r="X28" s="71">
        <v>0</v>
      </c>
      <c r="Y28" s="71">
        <v>0</v>
      </c>
      <c r="Z28" s="71">
        <f>+IFERROR($L28-SUM($O28:Y28),0)</f>
        <v>0</v>
      </c>
      <c r="AA28" s="71">
        <f>+IFERROR($L28-SUM($O28:Z28),0)</f>
        <v>0</v>
      </c>
      <c r="AB28" s="71">
        <f>+IFERROR($L28-SUM($O28:AA28),0)</f>
        <v>0</v>
      </c>
      <c r="AC28" s="71">
        <f>+IFERROR($L28-SUM($O28:AB28),0)</f>
        <v>0</v>
      </c>
      <c r="AD28" s="71">
        <f>+IFERROR($L28-SUM($O28:AC28),0)</f>
        <v>0</v>
      </c>
      <c r="AE28" s="71">
        <f>+IFERROR($L28-SUM($O28:AD28),0)</f>
        <v>0</v>
      </c>
      <c r="AF28" s="71">
        <f>+IFERROR($L28-SUM($O28:AE28),0)</f>
        <v>0</v>
      </c>
      <c r="AG28" s="71">
        <f>+IFERROR($L28-SUM($O28:AF28),0)</f>
        <v>0</v>
      </c>
      <c r="AH28" s="71">
        <f>+IFERROR($L28-SUM($O28:AG28),0)</f>
        <v>0</v>
      </c>
    </row>
    <row r="29" spans="2:34" ht="30" customHeight="1" x14ac:dyDescent="0.3">
      <c r="B29" s="29" t="s">
        <v>133</v>
      </c>
      <c r="C29" s="220" t="str">
        <f>+VLOOKUP(B29,Liste!B:E,2,FALSE)</f>
        <v>L=6 m Kaya Bulonu</v>
      </c>
      <c r="D29" s="220"/>
      <c r="E29" s="220"/>
      <c r="F29" s="220"/>
      <c r="G29" s="220"/>
      <c r="H29" s="221"/>
      <c r="I29" s="22" t="s">
        <v>42</v>
      </c>
      <c r="J29" s="92" t="s">
        <v>1098</v>
      </c>
      <c r="K29" s="178" t="e">
        <f t="shared" si="0"/>
        <v>#VALUE!</v>
      </c>
      <c r="L29" s="71" t="str">
        <f>+IFERROR(VLOOKUP(B29,Metraj!B:P,15,FALSE),"")</f>
        <v/>
      </c>
      <c r="O29" s="81"/>
      <c r="P29" s="71"/>
      <c r="Q29" s="71"/>
      <c r="R29" s="71"/>
      <c r="S29" s="71"/>
      <c r="T29" s="71"/>
      <c r="U29" s="71"/>
      <c r="V29" s="71">
        <v>0</v>
      </c>
      <c r="W29" s="71">
        <v>0</v>
      </c>
      <c r="X29" s="71">
        <v>0</v>
      </c>
      <c r="Y29" s="71">
        <v>0</v>
      </c>
      <c r="Z29" s="71">
        <f>+IFERROR($L29-SUM($O29:Y29),0)</f>
        <v>0</v>
      </c>
      <c r="AA29" s="71">
        <f>+IFERROR($L29-SUM($O29:Z29),0)</f>
        <v>0</v>
      </c>
      <c r="AB29" s="71">
        <f>+IFERROR($L29-SUM($O29:AA29),0)</f>
        <v>0</v>
      </c>
      <c r="AC29" s="71">
        <f>+IFERROR($L29-SUM($O29:AB29),0)</f>
        <v>0</v>
      </c>
      <c r="AD29" s="71">
        <f>+IFERROR($L29-SUM($O29:AC29),0)</f>
        <v>0</v>
      </c>
      <c r="AE29" s="71">
        <f>+IFERROR($L29-SUM($O29:AD29),0)</f>
        <v>0</v>
      </c>
      <c r="AF29" s="71">
        <f>+IFERROR($L29-SUM($O29:AE29),0)</f>
        <v>0</v>
      </c>
      <c r="AG29" s="71">
        <f>+IFERROR($L29-SUM($O29:AF29),0)</f>
        <v>0</v>
      </c>
      <c r="AH29" s="71">
        <f>+IFERROR($L29-SUM($O29:AG29),0)</f>
        <v>0</v>
      </c>
    </row>
    <row r="30" spans="2:34" ht="30" customHeight="1" x14ac:dyDescent="0.3">
      <c r="B30" s="29" t="s">
        <v>134</v>
      </c>
      <c r="C30" s="220" t="str">
        <f>+VLOOKUP(B30,Liste!B:E,2,FALSE)</f>
        <v>L=8 m Kaya Bulonu</v>
      </c>
      <c r="D30" s="220"/>
      <c r="E30" s="220"/>
      <c r="F30" s="220"/>
      <c r="G30" s="220"/>
      <c r="H30" s="221"/>
      <c r="I30" s="22" t="s">
        <v>42</v>
      </c>
      <c r="J30" s="92">
        <v>287</v>
      </c>
      <c r="K30" s="178">
        <f t="shared" si="0"/>
        <v>0</v>
      </c>
      <c r="L30" s="71">
        <f>+IFERROR(VLOOKUP(B30,Metraj!B:P,15,FALSE),"0")</f>
        <v>287</v>
      </c>
      <c r="O30" s="81"/>
      <c r="P30" s="71"/>
      <c r="Q30" s="71">
        <v>27</v>
      </c>
      <c r="R30" s="71">
        <v>57</v>
      </c>
      <c r="S30" s="71">
        <v>99</v>
      </c>
      <c r="T30" s="71">
        <v>94</v>
      </c>
      <c r="U30" s="71">
        <v>10</v>
      </c>
      <c r="V30" s="71">
        <v>0</v>
      </c>
      <c r="W30" s="71">
        <v>0</v>
      </c>
      <c r="X30" s="71">
        <v>0</v>
      </c>
      <c r="Y30" s="71">
        <v>0</v>
      </c>
      <c r="Z30" s="71">
        <f>$L30-SUM($O30:Y30)</f>
        <v>0</v>
      </c>
      <c r="AA30" s="71">
        <f>$L30-SUM($O30:Z30)</f>
        <v>0</v>
      </c>
      <c r="AB30" s="71">
        <f>$L30-SUM($O30:AA30)</f>
        <v>0</v>
      </c>
      <c r="AC30" s="71">
        <f>$L30-SUM($O30:AB30)</f>
        <v>0</v>
      </c>
      <c r="AD30" s="71">
        <f>$L30-SUM($O30:AC30)</f>
        <v>0</v>
      </c>
      <c r="AE30" s="71">
        <f>$L30-SUM($O30:AD30)</f>
        <v>0</v>
      </c>
      <c r="AF30" s="71">
        <f>$L30-SUM($O30:AE30)</f>
        <v>0</v>
      </c>
      <c r="AG30" s="71">
        <f>$L30-SUM($O30:AF30)</f>
        <v>0</v>
      </c>
      <c r="AH30" s="71">
        <f>$L30-SUM($O30:AG30)</f>
        <v>0</v>
      </c>
    </row>
    <row r="31" spans="2:34" ht="30" customHeight="1" x14ac:dyDescent="0.3">
      <c r="B31" s="29" t="s">
        <v>136</v>
      </c>
      <c r="C31" s="220" t="str">
        <f>+VLOOKUP(B31,Liste!B:E,2,FALSE)</f>
        <v>125 mm Delik İçine 14 mm Kalınlığında S420a ile Zemin Çivisi Teşkili</v>
      </c>
      <c r="D31" s="220"/>
      <c r="E31" s="220"/>
      <c r="F31" s="220"/>
      <c r="G31" s="220"/>
      <c r="H31" s="221"/>
      <c r="I31" s="22" t="s">
        <v>37</v>
      </c>
      <c r="J31" s="92">
        <v>1854</v>
      </c>
      <c r="K31" s="178">
        <f t="shared" si="0"/>
        <v>0</v>
      </c>
      <c r="L31" s="71">
        <f>+IFERROR(VLOOKUP(B31,Metraj!B:P,15,FALSE),"0")</f>
        <v>1854</v>
      </c>
      <c r="O31" s="81"/>
      <c r="P31" s="71"/>
      <c r="Q31" s="71">
        <v>396</v>
      </c>
      <c r="R31" s="71">
        <v>1035</v>
      </c>
      <c r="S31" s="71">
        <v>423</v>
      </c>
      <c r="T31" s="71"/>
      <c r="U31" s="71"/>
      <c r="V31" s="71">
        <v>0</v>
      </c>
      <c r="W31" s="71">
        <v>0</v>
      </c>
      <c r="X31" s="71">
        <v>0</v>
      </c>
      <c r="Y31" s="71">
        <v>0</v>
      </c>
      <c r="Z31" s="71">
        <f>$L31-SUM($O31:Y31)</f>
        <v>0</v>
      </c>
      <c r="AA31" s="71">
        <f>$L31-SUM($O31:Z31)</f>
        <v>0</v>
      </c>
      <c r="AB31" s="71">
        <f>$L31-SUM($O31:AA31)</f>
        <v>0</v>
      </c>
      <c r="AC31" s="71">
        <f>$L31-SUM($O31:AB31)</f>
        <v>0</v>
      </c>
      <c r="AD31" s="71">
        <f>$L31-SUM($O31:AC31)</f>
        <v>0</v>
      </c>
      <c r="AE31" s="71">
        <f>$L31-SUM($O31:AD31)</f>
        <v>0</v>
      </c>
      <c r="AF31" s="71">
        <f>$L31-SUM($O31:AE31)</f>
        <v>0</v>
      </c>
      <c r="AG31" s="71">
        <f>$L31-SUM($O31:AF31)</f>
        <v>0</v>
      </c>
      <c r="AH31" s="71">
        <f>$L31-SUM($O31:AG31)</f>
        <v>0</v>
      </c>
    </row>
    <row r="32" spans="2:34" ht="30" customHeight="1" x14ac:dyDescent="0.3">
      <c r="B32" s="29" t="s">
        <v>137</v>
      </c>
      <c r="C32" s="220" t="str">
        <f>+VLOOKUP(B32,Liste!B:E,2,FALSE)</f>
        <v>125 mm Delik İçine 26 mm Kalınlığında S420a ile Zemin Çivisi Teşkili</v>
      </c>
      <c r="D32" s="220"/>
      <c r="E32" s="220"/>
      <c r="F32" s="220"/>
      <c r="G32" s="220"/>
      <c r="H32" s="221"/>
      <c r="I32" s="22" t="s">
        <v>37</v>
      </c>
      <c r="J32" s="92" t="s">
        <v>1098</v>
      </c>
      <c r="K32" s="178" t="e">
        <f t="shared" si="0"/>
        <v>#VALUE!</v>
      </c>
      <c r="L32" s="71" t="str">
        <f>+IFERROR(VLOOKUP(B32,Metraj!B:P,15,FALSE),"")</f>
        <v/>
      </c>
      <c r="O32" s="81"/>
      <c r="P32" s="71"/>
      <c r="Q32" s="71"/>
      <c r="R32" s="71"/>
      <c r="S32" s="71"/>
      <c r="T32" s="71"/>
      <c r="U32" s="71"/>
      <c r="V32" s="71">
        <v>0</v>
      </c>
      <c r="W32" s="71">
        <v>0</v>
      </c>
      <c r="X32" s="71">
        <v>0</v>
      </c>
      <c r="Y32" s="71">
        <v>0</v>
      </c>
      <c r="Z32" s="71">
        <f>+IFERROR($L32-SUM($O32:Y32),0)</f>
        <v>0</v>
      </c>
      <c r="AA32" s="71">
        <f>+IFERROR($L32-SUM($O32:Z32),0)</f>
        <v>0</v>
      </c>
      <c r="AB32" s="71">
        <f>+IFERROR($L32-SUM($O32:AA32),0)</f>
        <v>0</v>
      </c>
      <c r="AC32" s="71">
        <f>+IFERROR($L32-SUM($O32:AB32),0)</f>
        <v>0</v>
      </c>
      <c r="AD32" s="71">
        <f>+IFERROR($L32-SUM($O32:AC32),0)</f>
        <v>0</v>
      </c>
      <c r="AE32" s="71">
        <f>+IFERROR($L32-SUM($O32:AD32),0)</f>
        <v>0</v>
      </c>
      <c r="AF32" s="71">
        <f>+IFERROR($L32-SUM($O32:AE32),0)</f>
        <v>0</v>
      </c>
      <c r="AG32" s="71">
        <f>+IFERROR($L32-SUM($O32:AF32),0)</f>
        <v>0</v>
      </c>
      <c r="AH32" s="71">
        <f>+IFERROR($L32-SUM($O32:AG32),0)</f>
        <v>0</v>
      </c>
    </row>
    <row r="33" spans="2:34" ht="30" customHeight="1" x14ac:dyDescent="0.3">
      <c r="B33" s="29" t="s">
        <v>138</v>
      </c>
      <c r="C33" s="220" t="str">
        <f>+VLOOKUP(B33,Liste!B:E,2,FALSE)</f>
        <v>Çelik İksa (Tünel ve Şaftlarda)</v>
      </c>
      <c r="D33" s="220"/>
      <c r="E33" s="220"/>
      <c r="F33" s="220"/>
      <c r="G33" s="220"/>
      <c r="H33" s="221"/>
      <c r="I33" s="22" t="s">
        <v>57</v>
      </c>
      <c r="J33" s="92">
        <v>92.102999999999994</v>
      </c>
      <c r="K33" s="178">
        <f t="shared" si="0"/>
        <v>0</v>
      </c>
      <c r="L33" s="71">
        <f>+IFERROR(VLOOKUP(B33,Metraj!B:P,15,FALSE),"0")</f>
        <v>92.102999999999994</v>
      </c>
      <c r="O33" s="81"/>
      <c r="P33" s="71"/>
      <c r="Q33" s="71">
        <v>24.742000000000001</v>
      </c>
      <c r="R33" s="71">
        <v>36.502000000000002</v>
      </c>
      <c r="S33" s="71">
        <v>28.446000000000005</v>
      </c>
      <c r="T33" s="71">
        <v>2.4129999999999998</v>
      </c>
      <c r="U33" s="71"/>
      <c r="V33" s="71">
        <v>0</v>
      </c>
      <c r="W33" s="71">
        <v>0</v>
      </c>
      <c r="X33" s="71">
        <v>0</v>
      </c>
      <c r="Y33" s="71">
        <v>0</v>
      </c>
      <c r="Z33" s="71">
        <f>$L33-SUM($O33:Y33)</f>
        <v>0</v>
      </c>
      <c r="AA33" s="71">
        <f>$L33-SUM($O33:Z33)</f>
        <v>0</v>
      </c>
      <c r="AB33" s="71">
        <f>$L33-SUM($O33:AA33)</f>
        <v>0</v>
      </c>
      <c r="AC33" s="71">
        <f>$L33-SUM($O33:AB33)</f>
        <v>0</v>
      </c>
      <c r="AD33" s="71">
        <f>$L33-SUM($O33:AC33)</f>
        <v>0</v>
      </c>
      <c r="AE33" s="71">
        <f>$L33-SUM($O33:AD33)</f>
        <v>0</v>
      </c>
      <c r="AF33" s="71">
        <f>$L33-SUM($O33:AE33)</f>
        <v>0</v>
      </c>
      <c r="AG33" s="71">
        <f>$L33-SUM($O33:AF33)</f>
        <v>0</v>
      </c>
      <c r="AH33" s="71">
        <f>$L33-SUM($O33:AG33)</f>
        <v>0</v>
      </c>
    </row>
    <row r="34" spans="2:34" ht="30" customHeight="1" x14ac:dyDescent="0.3">
      <c r="B34" s="29" t="s">
        <v>140</v>
      </c>
      <c r="C34" s="220" t="str">
        <f>+VLOOKUP(B34,Liste!B:E,2,FALSE)</f>
        <v>Umbrella Arch Yapılması</v>
      </c>
      <c r="D34" s="220"/>
      <c r="E34" s="220"/>
      <c r="F34" s="220"/>
      <c r="G34" s="220"/>
      <c r="H34" s="221"/>
      <c r="I34" s="22" t="s">
        <v>37</v>
      </c>
      <c r="J34" s="92">
        <v>4653</v>
      </c>
      <c r="K34" s="178">
        <f t="shared" si="0"/>
        <v>0</v>
      </c>
      <c r="L34" s="71">
        <f>+IFERROR(VLOOKUP(B34,Metraj!B:P,15,FALSE),"0")</f>
        <v>4653</v>
      </c>
      <c r="O34" s="81"/>
      <c r="P34" s="71"/>
      <c r="Q34" s="71">
        <v>1044</v>
      </c>
      <c r="R34" s="71">
        <v>2610</v>
      </c>
      <c r="S34" s="71">
        <v>999</v>
      </c>
      <c r="T34" s="71"/>
      <c r="U34" s="71"/>
      <c r="V34" s="71">
        <v>0</v>
      </c>
      <c r="W34" s="71">
        <v>0</v>
      </c>
      <c r="X34" s="71">
        <v>0</v>
      </c>
      <c r="Y34" s="71">
        <v>0</v>
      </c>
      <c r="Z34" s="71">
        <f>$L34-SUM($O34:Y34)</f>
        <v>0</v>
      </c>
      <c r="AA34" s="71">
        <f>$L34-SUM($O34:Z34)</f>
        <v>0</v>
      </c>
      <c r="AB34" s="71">
        <f>$L34-SUM($O34:AA34)</f>
        <v>0</v>
      </c>
      <c r="AC34" s="71">
        <f>$L34-SUM($O34:AB34)</f>
        <v>0</v>
      </c>
      <c r="AD34" s="71">
        <f>$L34-SUM($O34:AC34)</f>
        <v>0</v>
      </c>
      <c r="AE34" s="71">
        <f>$L34-SUM($O34:AD34)</f>
        <v>0</v>
      </c>
      <c r="AF34" s="71">
        <f>$L34-SUM($O34:AE34)</f>
        <v>0</v>
      </c>
      <c r="AG34" s="71">
        <f>$L34-SUM($O34:AF34)</f>
        <v>0</v>
      </c>
      <c r="AH34" s="71">
        <f>$L34-SUM($O34:AG34)</f>
        <v>0</v>
      </c>
    </row>
    <row r="35" spans="2:34" ht="30" customHeight="1" x14ac:dyDescent="0.3">
      <c r="B35" s="29" t="s">
        <v>142</v>
      </c>
      <c r="C35" s="220" t="str">
        <f>+VLOOKUP(B35,Liste!B:E,2,FALSE)</f>
        <v>Tünel ve şaftlarda su yalıtımı, birim ağırlığı &gt;=500 g/metrekare geotekstil keçe</v>
      </c>
      <c r="D35" s="220"/>
      <c r="E35" s="220"/>
      <c r="F35" s="220"/>
      <c r="G35" s="220"/>
      <c r="H35" s="221"/>
      <c r="I35" s="22" t="s">
        <v>19</v>
      </c>
      <c r="J35" s="92" t="s">
        <v>1098</v>
      </c>
      <c r="K35" s="178" t="e">
        <f t="shared" si="0"/>
        <v>#VALUE!</v>
      </c>
      <c r="L35" s="71" t="str">
        <f>+IFERROR(VLOOKUP(B35,Metraj!B:P,15,FALSE),"")</f>
        <v/>
      </c>
      <c r="O35" s="81"/>
      <c r="P35" s="71"/>
      <c r="Q35" s="71"/>
      <c r="R35" s="71"/>
      <c r="S35" s="71"/>
      <c r="T35" s="71"/>
      <c r="U35" s="71"/>
      <c r="V35" s="71">
        <v>0</v>
      </c>
      <c r="W35" s="71">
        <v>0</v>
      </c>
      <c r="X35" s="71">
        <v>0</v>
      </c>
      <c r="Y35" s="71">
        <v>0</v>
      </c>
      <c r="Z35" s="71">
        <f>+IFERROR($L35-SUM($O35:Y35),0)</f>
        <v>0</v>
      </c>
      <c r="AA35" s="71">
        <f>+IFERROR($L35-SUM($O35:Z35),0)</f>
        <v>0</v>
      </c>
      <c r="AB35" s="71">
        <f>+IFERROR($L35-SUM($O35:AA35),0)</f>
        <v>0</v>
      </c>
      <c r="AC35" s="71">
        <f>+IFERROR($L35-SUM($O35:AB35),0)</f>
        <v>0</v>
      </c>
      <c r="AD35" s="71">
        <f>+IFERROR($L35-SUM($O35:AC35),0)</f>
        <v>0</v>
      </c>
      <c r="AE35" s="71">
        <f>+IFERROR($L35-SUM($O35:AD35),0)</f>
        <v>0</v>
      </c>
      <c r="AF35" s="71">
        <f>+IFERROR($L35-SUM($O35:AE35),0)</f>
        <v>0</v>
      </c>
      <c r="AG35" s="71">
        <f>+IFERROR($L35-SUM($O35:AF35),0)</f>
        <v>0</v>
      </c>
      <c r="AH35" s="71">
        <f>+IFERROR($L35-SUM($O35:AG35),0)</f>
        <v>0</v>
      </c>
    </row>
    <row r="36" spans="2:34" ht="30" customHeight="1" x14ac:dyDescent="0.3">
      <c r="B36" s="29" t="s">
        <v>144</v>
      </c>
      <c r="C36" s="220" t="str">
        <f>+VLOOKUP(B36,Liste!B:E,2,FALSE)</f>
        <v>Tünel ve şaftlarda su yalıtımı, 2mm kalınlıklı PVC membran</v>
      </c>
      <c r="D36" s="220"/>
      <c r="E36" s="220"/>
      <c r="F36" s="220"/>
      <c r="G36" s="220"/>
      <c r="H36" s="221"/>
      <c r="I36" s="22" t="s">
        <v>19</v>
      </c>
      <c r="J36" s="92" t="s">
        <v>1098</v>
      </c>
      <c r="K36" s="178" t="e">
        <f t="shared" si="0"/>
        <v>#VALUE!</v>
      </c>
      <c r="L36" s="71" t="str">
        <f>+IFERROR(VLOOKUP(B36,Metraj!B:P,15,FALSE),"")</f>
        <v/>
      </c>
      <c r="O36" s="81"/>
      <c r="P36" s="71"/>
      <c r="Q36" s="71"/>
      <c r="R36" s="71"/>
      <c r="S36" s="71"/>
      <c r="T36" s="71"/>
      <c r="U36" s="71"/>
      <c r="V36" s="71">
        <v>0</v>
      </c>
      <c r="W36" s="71">
        <v>0</v>
      </c>
      <c r="X36" s="71">
        <v>0</v>
      </c>
      <c r="Y36" s="71">
        <v>0</v>
      </c>
      <c r="Z36" s="71">
        <f>+IFERROR($L36-SUM($O36:Y36),0)</f>
        <v>0</v>
      </c>
      <c r="AA36" s="71">
        <f>+IFERROR($L36-SUM($O36:Z36),0)</f>
        <v>0</v>
      </c>
      <c r="AB36" s="71">
        <f>+IFERROR($L36-SUM($O36:AA36),0)</f>
        <v>0</v>
      </c>
      <c r="AC36" s="71">
        <f>+IFERROR($L36-SUM($O36:AB36),0)</f>
        <v>0</v>
      </c>
      <c r="AD36" s="71">
        <f>+IFERROR($L36-SUM($O36:AC36),0)</f>
        <v>0</v>
      </c>
      <c r="AE36" s="71">
        <f>+IFERROR($L36-SUM($O36:AD36),0)</f>
        <v>0</v>
      </c>
      <c r="AF36" s="71">
        <f>+IFERROR($L36-SUM($O36:AE36),0)</f>
        <v>0</v>
      </c>
      <c r="AG36" s="71">
        <f>+IFERROR($L36-SUM($O36:AF36),0)</f>
        <v>0</v>
      </c>
      <c r="AH36" s="71">
        <f>+IFERROR($L36-SUM($O36:AG36),0)</f>
        <v>0</v>
      </c>
    </row>
    <row r="37" spans="2:34" ht="30" customHeight="1" x14ac:dyDescent="0.3">
      <c r="B37" s="29" t="s">
        <v>146</v>
      </c>
      <c r="C37" s="220" t="str">
        <f>+VLOOKUP(B37,Liste!B:E,2,FALSE)</f>
        <v>Su Tutucular (Tünel ve Şaftlarda)</v>
      </c>
      <c r="D37" s="220"/>
      <c r="E37" s="220"/>
      <c r="F37" s="220"/>
      <c r="G37" s="220"/>
      <c r="H37" s="221"/>
      <c r="I37" s="22" t="s">
        <v>37</v>
      </c>
      <c r="J37" s="92" t="s">
        <v>1098</v>
      </c>
      <c r="K37" s="178" t="e">
        <f t="shared" si="0"/>
        <v>#VALUE!</v>
      </c>
      <c r="L37" s="71" t="str">
        <f>+IFERROR(VLOOKUP(B37,Metraj!B:P,15,FALSE),"")</f>
        <v/>
      </c>
      <c r="O37" s="81"/>
      <c r="P37" s="71"/>
      <c r="Q37" s="71"/>
      <c r="R37" s="71"/>
      <c r="S37" s="71"/>
      <c r="T37" s="71"/>
      <c r="U37" s="71"/>
      <c r="V37" s="71">
        <v>0</v>
      </c>
      <c r="W37" s="71">
        <v>0</v>
      </c>
      <c r="X37" s="71">
        <v>0</v>
      </c>
      <c r="Y37" s="71">
        <v>0</v>
      </c>
      <c r="Z37" s="71">
        <f>+IFERROR($L37-SUM($O37:Y37),0)</f>
        <v>0</v>
      </c>
      <c r="AA37" s="71">
        <f>+IFERROR($L37-SUM($O37:Z37),0)</f>
        <v>0</v>
      </c>
      <c r="AB37" s="71">
        <f>+IFERROR($L37-SUM($O37:AA37),0)</f>
        <v>0</v>
      </c>
      <c r="AC37" s="71">
        <f>+IFERROR($L37-SUM($O37:AB37),0)</f>
        <v>0</v>
      </c>
      <c r="AD37" s="71">
        <f>+IFERROR($L37-SUM($O37:AC37),0)</f>
        <v>0</v>
      </c>
      <c r="AE37" s="71">
        <f>+IFERROR($L37-SUM($O37:AD37),0)</f>
        <v>0</v>
      </c>
      <c r="AF37" s="71">
        <f>+IFERROR($L37-SUM($O37:AE37),0)</f>
        <v>0</v>
      </c>
      <c r="AG37" s="71">
        <f>+IFERROR($L37-SUM($O37:AF37),0)</f>
        <v>0</v>
      </c>
      <c r="AH37" s="71">
        <f>+IFERROR($L37-SUM($O37:AG37),0)</f>
        <v>0</v>
      </c>
    </row>
    <row r="38" spans="2:34" ht="30" customHeight="1" x14ac:dyDescent="0.3">
      <c r="B38" s="29" t="s">
        <v>148</v>
      </c>
      <c r="C38" s="220" t="str">
        <f>+VLOOKUP(B38,Liste!B:E,2,FALSE)</f>
        <v>Kalıp (invert ve şaft için)</v>
      </c>
      <c r="D38" s="220"/>
      <c r="E38" s="220"/>
      <c r="F38" s="220"/>
      <c r="G38" s="220"/>
      <c r="H38" s="221"/>
      <c r="I38" s="22" t="s">
        <v>19</v>
      </c>
      <c r="J38" s="92" t="s">
        <v>1098</v>
      </c>
      <c r="K38" s="178" t="e">
        <f t="shared" si="0"/>
        <v>#VALUE!</v>
      </c>
      <c r="L38" s="71" t="str">
        <f>+IFERROR(VLOOKUP(B38,Metraj!B:P,15,FALSE),"")</f>
        <v/>
      </c>
      <c r="O38" s="81"/>
      <c r="P38" s="71"/>
      <c r="Q38" s="71"/>
      <c r="R38" s="71"/>
      <c r="S38" s="71"/>
      <c r="T38" s="71"/>
      <c r="U38" s="71"/>
      <c r="V38" s="71">
        <v>0</v>
      </c>
      <c r="W38" s="71">
        <v>0</v>
      </c>
      <c r="X38" s="71">
        <v>0</v>
      </c>
      <c r="Y38" s="71">
        <v>0</v>
      </c>
      <c r="Z38" s="71">
        <f>+IFERROR($L38-SUM($O38:Y38),0)</f>
        <v>0</v>
      </c>
      <c r="AA38" s="71">
        <f>+IFERROR($L38-SUM($O38:Z38),0)</f>
        <v>0</v>
      </c>
      <c r="AB38" s="71">
        <f>+IFERROR($L38-SUM($O38:AA38),0)</f>
        <v>0</v>
      </c>
      <c r="AC38" s="71">
        <f>+IFERROR($L38-SUM($O38:AB38),0)</f>
        <v>0</v>
      </c>
      <c r="AD38" s="71">
        <f>+IFERROR($L38-SUM($O38:AC38),0)</f>
        <v>0</v>
      </c>
      <c r="AE38" s="71">
        <f>+IFERROR($L38-SUM($O38:AD38),0)</f>
        <v>0</v>
      </c>
      <c r="AF38" s="71">
        <f>+IFERROR($L38-SUM($O38:AE38),0)</f>
        <v>0</v>
      </c>
      <c r="AG38" s="71">
        <f>+IFERROR($L38-SUM($O38:AF38),0)</f>
        <v>0</v>
      </c>
      <c r="AH38" s="71">
        <f>+IFERROR($L38-SUM($O38:AG38),0)</f>
        <v>0</v>
      </c>
    </row>
    <row r="39" spans="2:34" ht="30" customHeight="1" x14ac:dyDescent="0.3">
      <c r="B39" s="29" t="s">
        <v>150</v>
      </c>
      <c r="C39" s="220" t="str">
        <f>+VLOOKUP(B39,Liste!B:E,2,FALSE)</f>
        <v>Kalıp (duvar ve kemer İçin)</v>
      </c>
      <c r="D39" s="220"/>
      <c r="E39" s="220"/>
      <c r="F39" s="220"/>
      <c r="G39" s="220"/>
      <c r="H39" s="221"/>
      <c r="I39" s="22" t="s">
        <v>19</v>
      </c>
      <c r="J39" s="92" t="s">
        <v>1098</v>
      </c>
      <c r="K39" s="178" t="e">
        <f t="shared" si="0"/>
        <v>#VALUE!</v>
      </c>
      <c r="L39" s="71" t="str">
        <f>+IFERROR(VLOOKUP(B39,Metraj!B:P,15,FALSE),"")</f>
        <v/>
      </c>
      <c r="O39" s="81"/>
      <c r="P39" s="71"/>
      <c r="Q39" s="71"/>
      <c r="R39" s="71"/>
      <c r="S39" s="71"/>
      <c r="T39" s="71"/>
      <c r="U39" s="71"/>
      <c r="V39" s="71">
        <v>0</v>
      </c>
      <c r="W39" s="71">
        <v>0</v>
      </c>
      <c r="X39" s="71">
        <v>0</v>
      </c>
      <c r="Y39" s="71">
        <v>0</v>
      </c>
      <c r="Z39" s="71">
        <f>+IFERROR($L39-SUM($O39:Y39),0)</f>
        <v>0</v>
      </c>
      <c r="AA39" s="71">
        <f>+IFERROR($L39-SUM($O39:Z39),0)</f>
        <v>0</v>
      </c>
      <c r="AB39" s="71">
        <f>+IFERROR($L39-SUM($O39:AA39),0)</f>
        <v>0</v>
      </c>
      <c r="AC39" s="71">
        <f>+IFERROR($L39-SUM($O39:AB39),0)</f>
        <v>0</v>
      </c>
      <c r="AD39" s="71">
        <f>+IFERROR($L39-SUM($O39:AC39),0)</f>
        <v>0</v>
      </c>
      <c r="AE39" s="71">
        <f>+IFERROR($L39-SUM($O39:AD39),0)</f>
        <v>0</v>
      </c>
      <c r="AF39" s="71">
        <f>+IFERROR($L39-SUM($O39:AE39),0)</f>
        <v>0</v>
      </c>
      <c r="AG39" s="71">
        <f>+IFERROR($L39-SUM($O39:AF39),0)</f>
        <v>0</v>
      </c>
      <c r="AH39" s="71">
        <f>+IFERROR($L39-SUM($O39:AG39),0)</f>
        <v>0</v>
      </c>
    </row>
    <row r="40" spans="2:34" ht="30" customHeight="1" x14ac:dyDescent="0.3">
      <c r="B40" s="29" t="s">
        <v>152</v>
      </c>
      <c r="C40" s="220" t="str">
        <f>+VLOOKUP(B40,Liste!B:E,2,FALSE)</f>
        <v>Tip Kesit Dışı Konstrüksiyon Kalıbı, Tünel Alın Kalıbı</v>
      </c>
      <c r="D40" s="220"/>
      <c r="E40" s="220"/>
      <c r="F40" s="220"/>
      <c r="G40" s="220"/>
      <c r="H40" s="221"/>
      <c r="I40" s="22" t="s">
        <v>19</v>
      </c>
      <c r="J40" s="92" t="s">
        <v>1098</v>
      </c>
      <c r="K40" s="178" t="e">
        <f t="shared" si="0"/>
        <v>#VALUE!</v>
      </c>
      <c r="L40" s="71" t="str">
        <f>+IFERROR(VLOOKUP(B40,Metraj!B:P,15,FALSE),"")</f>
        <v/>
      </c>
      <c r="O40" s="81"/>
      <c r="P40" s="71"/>
      <c r="Q40" s="71"/>
      <c r="R40" s="71"/>
      <c r="S40" s="71"/>
      <c r="T40" s="71"/>
      <c r="U40" s="71"/>
      <c r="V40" s="71">
        <v>0</v>
      </c>
      <c r="W40" s="71">
        <v>0</v>
      </c>
      <c r="X40" s="71">
        <v>0</v>
      </c>
      <c r="Y40" s="71">
        <v>0</v>
      </c>
      <c r="Z40" s="71">
        <f>+IFERROR($L40-SUM($O40:Y40),0)</f>
        <v>0</v>
      </c>
      <c r="AA40" s="71">
        <f>+IFERROR($L40-SUM($O40:Z40),0)</f>
        <v>0</v>
      </c>
      <c r="AB40" s="71">
        <f>+IFERROR($L40-SUM($O40:AA40),0)</f>
        <v>0</v>
      </c>
      <c r="AC40" s="71">
        <f>+IFERROR($L40-SUM($O40:AB40),0)</f>
        <v>0</v>
      </c>
      <c r="AD40" s="71">
        <f>+IFERROR($L40-SUM($O40:AC40),0)</f>
        <v>0</v>
      </c>
      <c r="AE40" s="71">
        <f>+IFERROR($L40-SUM($O40:AD40),0)</f>
        <v>0</v>
      </c>
      <c r="AF40" s="71">
        <f>+IFERROR($L40-SUM($O40:AE40),0)</f>
        <v>0</v>
      </c>
      <c r="AG40" s="71">
        <f>+IFERROR($L40-SUM($O40:AF40),0)</f>
        <v>0</v>
      </c>
      <c r="AH40" s="71">
        <f>+IFERROR($L40-SUM($O40:AG40),0)</f>
        <v>0</v>
      </c>
    </row>
    <row r="41" spans="2:34" ht="30" customHeight="1" x14ac:dyDescent="0.3">
      <c r="B41" s="29" t="s">
        <v>154</v>
      </c>
      <c r="C41" s="220" t="str">
        <f>+VLOOKUP(B41,Liste!B:E,2,FALSE)</f>
        <v>C16 Beton İmali ve Dökülmesi (Tünel ve Şaftlarda)</v>
      </c>
      <c r="D41" s="220"/>
      <c r="E41" s="220"/>
      <c r="F41" s="220"/>
      <c r="G41" s="220"/>
      <c r="H41" s="221"/>
      <c r="I41" s="22" t="s">
        <v>22</v>
      </c>
      <c r="J41" s="92" t="s">
        <v>1098</v>
      </c>
      <c r="K41" s="178" t="e">
        <f t="shared" si="0"/>
        <v>#VALUE!</v>
      </c>
      <c r="L41" s="71" t="str">
        <f>+IFERROR(VLOOKUP(B41,Metraj!B:P,15,FALSE),"")</f>
        <v/>
      </c>
      <c r="O41" s="81"/>
      <c r="P41" s="71"/>
      <c r="Q41" s="71"/>
      <c r="R41" s="71"/>
      <c r="S41" s="71"/>
      <c r="T41" s="71"/>
      <c r="U41" s="71"/>
      <c r="V41" s="71">
        <v>0</v>
      </c>
      <c r="W41" s="71">
        <v>0</v>
      </c>
      <c r="X41" s="71">
        <v>0</v>
      </c>
      <c r="Y41" s="71">
        <v>0</v>
      </c>
      <c r="Z41" s="71">
        <f>+IFERROR($L41-SUM($O41:Y41),0)</f>
        <v>0</v>
      </c>
      <c r="AA41" s="71">
        <f>+IFERROR($L41-SUM($O41:Z41),0)</f>
        <v>0</v>
      </c>
      <c r="AB41" s="71">
        <f>+IFERROR($L41-SUM($O41:AA41),0)</f>
        <v>0</v>
      </c>
      <c r="AC41" s="71">
        <f>+IFERROR($L41-SUM($O41:AB41),0)</f>
        <v>0</v>
      </c>
      <c r="AD41" s="71">
        <f>+IFERROR($L41-SUM($O41:AC41),0)</f>
        <v>0</v>
      </c>
      <c r="AE41" s="71">
        <f>+IFERROR($L41-SUM($O41:AD41),0)</f>
        <v>0</v>
      </c>
      <c r="AF41" s="71">
        <f>+IFERROR($L41-SUM($O41:AE41),0)</f>
        <v>0</v>
      </c>
      <c r="AG41" s="71">
        <f>+IFERROR($L41-SUM($O41:AF41),0)</f>
        <v>0</v>
      </c>
      <c r="AH41" s="71">
        <f>+IFERROR($L41-SUM($O41:AG41),0)</f>
        <v>0</v>
      </c>
    </row>
    <row r="42" spans="2:34" ht="30" customHeight="1" x14ac:dyDescent="0.3">
      <c r="B42" s="29" t="s">
        <v>156</v>
      </c>
      <c r="C42" s="220" t="str">
        <f>+VLOOKUP(B42,Liste!B:E,2,FALSE)</f>
        <v>C30 Beton İmali ve Dökülmesi (Tünel ve Şaftlarda) Tünel kaplaması, invert ve şaftlardaki alt döşeme</v>
      </c>
      <c r="D42" s="220"/>
      <c r="E42" s="220"/>
      <c r="F42" s="220"/>
      <c r="G42" s="220"/>
      <c r="H42" s="221"/>
      <c r="I42" s="22" t="s">
        <v>22</v>
      </c>
      <c r="J42" s="92" t="s">
        <v>1098</v>
      </c>
      <c r="K42" s="178" t="e">
        <f t="shared" si="0"/>
        <v>#VALUE!</v>
      </c>
      <c r="L42" s="71" t="str">
        <f>+IFERROR(VLOOKUP(B42,Metraj!B:P,15,FALSE),"")</f>
        <v/>
      </c>
      <c r="O42" s="81"/>
      <c r="P42" s="71"/>
      <c r="Q42" s="71"/>
      <c r="R42" s="71"/>
      <c r="S42" s="71"/>
      <c r="T42" s="71"/>
      <c r="U42" s="71"/>
      <c r="V42" s="71">
        <v>0</v>
      </c>
      <c r="W42" s="71">
        <v>0</v>
      </c>
      <c r="X42" s="71">
        <v>0</v>
      </c>
      <c r="Y42" s="71">
        <v>0</v>
      </c>
      <c r="Z42" s="71">
        <f>+IFERROR($L42-SUM($O42:Y42),0)</f>
        <v>0</v>
      </c>
      <c r="AA42" s="71">
        <f>+IFERROR($L42-SUM($O42:Z42),0)</f>
        <v>0</v>
      </c>
      <c r="AB42" s="71">
        <f>+IFERROR($L42-SUM($O42:AA42),0)</f>
        <v>0</v>
      </c>
      <c r="AC42" s="71">
        <f>+IFERROR($L42-SUM($O42:AB42),0)</f>
        <v>0</v>
      </c>
      <c r="AD42" s="71">
        <f>+IFERROR($L42-SUM($O42:AC42),0)</f>
        <v>0</v>
      </c>
      <c r="AE42" s="71">
        <f>+IFERROR($L42-SUM($O42:AD42),0)</f>
        <v>0</v>
      </c>
      <c r="AF42" s="71">
        <f>+IFERROR($L42-SUM($O42:AE42),0)</f>
        <v>0</v>
      </c>
      <c r="AG42" s="71">
        <f>+IFERROR($L42-SUM($O42:AF42),0)</f>
        <v>0</v>
      </c>
      <c r="AH42" s="71">
        <f>+IFERROR($L42-SUM($O42:AG42),0)</f>
        <v>0</v>
      </c>
    </row>
    <row r="43" spans="2:34" ht="30" customHeight="1" x14ac:dyDescent="0.3">
      <c r="B43" s="29" t="s">
        <v>158</v>
      </c>
      <c r="C43" s="220" t="str">
        <f>+VLOOKUP(B43,Liste!B:E,2,FALSE)</f>
        <v>C30 Beton İmali ve Dökülmesi (Tünel ve Şaftlarda) Yan duvarlar, kemer</v>
      </c>
      <c r="D43" s="220"/>
      <c r="E43" s="220"/>
      <c r="F43" s="220"/>
      <c r="G43" s="220"/>
      <c r="H43" s="221"/>
      <c r="I43" s="22" t="s">
        <v>22</v>
      </c>
      <c r="J43" s="92" t="s">
        <v>1098</v>
      </c>
      <c r="K43" s="178" t="e">
        <f t="shared" si="0"/>
        <v>#VALUE!</v>
      </c>
      <c r="L43" s="71" t="str">
        <f>+IFERROR(VLOOKUP(B43,Metraj!B:P,15,FALSE),"")</f>
        <v/>
      </c>
      <c r="O43" s="81"/>
      <c r="P43" s="71"/>
      <c r="Q43" s="71"/>
      <c r="R43" s="71"/>
      <c r="S43" s="71"/>
      <c r="T43" s="71"/>
      <c r="U43" s="71"/>
      <c r="V43" s="71">
        <v>0</v>
      </c>
      <c r="W43" s="71">
        <v>0</v>
      </c>
      <c r="X43" s="71">
        <v>0</v>
      </c>
      <c r="Y43" s="71">
        <v>0</v>
      </c>
      <c r="Z43" s="71">
        <f>+IFERROR($L43-SUM($O43:Y43),0)</f>
        <v>0</v>
      </c>
      <c r="AA43" s="71">
        <f>+IFERROR($L43-SUM($O43:Z43),0)</f>
        <v>0</v>
      </c>
      <c r="AB43" s="71">
        <f>+IFERROR($L43-SUM($O43:AA43),0)</f>
        <v>0</v>
      </c>
      <c r="AC43" s="71">
        <f>+IFERROR($L43-SUM($O43:AB43),0)</f>
        <v>0</v>
      </c>
      <c r="AD43" s="71">
        <f>+IFERROR($L43-SUM($O43:AC43),0)</f>
        <v>0</v>
      </c>
      <c r="AE43" s="71">
        <f>+IFERROR($L43-SUM($O43:AD43),0)</f>
        <v>0</v>
      </c>
      <c r="AF43" s="71">
        <f>+IFERROR($L43-SUM($O43:AE43),0)</f>
        <v>0</v>
      </c>
      <c r="AG43" s="71">
        <f>+IFERROR($L43-SUM($O43:AF43),0)</f>
        <v>0</v>
      </c>
      <c r="AH43" s="71">
        <f>+IFERROR($L43-SUM($O43:AG43),0)</f>
        <v>0</v>
      </c>
    </row>
    <row r="44" spans="2:34" ht="30" customHeight="1" x14ac:dyDescent="0.3">
      <c r="B44" s="29" t="s">
        <v>160</v>
      </c>
      <c r="C44" s="220" t="str">
        <f>+VLOOKUP(B44,Liste!B:E,2,FALSE)</f>
        <v>Diğer Kesit Dışındaki Yapıların Betonu C30</v>
      </c>
      <c r="D44" s="220"/>
      <c r="E44" s="220"/>
      <c r="F44" s="220"/>
      <c r="G44" s="220"/>
      <c r="H44" s="221"/>
      <c r="I44" s="22" t="s">
        <v>22</v>
      </c>
      <c r="J44" s="92" t="s">
        <v>1098</v>
      </c>
      <c r="K44" s="178" t="e">
        <f t="shared" si="0"/>
        <v>#VALUE!</v>
      </c>
      <c r="L44" s="71" t="str">
        <f>+IFERROR(VLOOKUP(B44,Metraj!B:P,15,FALSE),"")</f>
        <v/>
      </c>
      <c r="O44" s="81"/>
      <c r="P44" s="71"/>
      <c r="Q44" s="71"/>
      <c r="R44" s="71"/>
      <c r="S44" s="71"/>
      <c r="T44" s="71"/>
      <c r="U44" s="71"/>
      <c r="V44" s="71">
        <v>0</v>
      </c>
      <c r="W44" s="71">
        <v>0</v>
      </c>
      <c r="X44" s="71">
        <v>0</v>
      </c>
      <c r="Y44" s="71">
        <v>0</v>
      </c>
      <c r="Z44" s="71">
        <f>+IFERROR($L44-SUM($O44:Y44),0)</f>
        <v>0</v>
      </c>
      <c r="AA44" s="71">
        <f>+IFERROR($L44-SUM($O44:Z44),0)</f>
        <v>0</v>
      </c>
      <c r="AB44" s="71">
        <f>+IFERROR($L44-SUM($O44:AA44),0)</f>
        <v>0</v>
      </c>
      <c r="AC44" s="71">
        <f>+IFERROR($L44-SUM($O44:AB44),0)</f>
        <v>0</v>
      </c>
      <c r="AD44" s="71">
        <f>+IFERROR($L44-SUM($O44:AC44),0)</f>
        <v>0</v>
      </c>
      <c r="AE44" s="71">
        <f>+IFERROR($L44-SUM($O44:AD44),0)</f>
        <v>0</v>
      </c>
      <c r="AF44" s="71">
        <f>+IFERROR($L44-SUM($O44:AE44),0)</f>
        <v>0</v>
      </c>
      <c r="AG44" s="71">
        <f>+IFERROR($L44-SUM($O44:AF44),0)</f>
        <v>0</v>
      </c>
      <c r="AH44" s="71">
        <f>+IFERROR($L44-SUM($O44:AG44),0)</f>
        <v>0</v>
      </c>
    </row>
    <row r="45" spans="2:34" ht="30" customHeight="1" x14ac:dyDescent="0.3">
      <c r="B45" s="29" t="s">
        <v>162</v>
      </c>
      <c r="C45" s="220" t="str">
        <f>+VLOOKUP(B45,Liste!B:E,2,FALSE)</f>
        <v>Çelik Donatı (S220 )</v>
      </c>
      <c r="D45" s="220"/>
      <c r="E45" s="220"/>
      <c r="F45" s="220"/>
      <c r="G45" s="220"/>
      <c r="H45" s="221"/>
      <c r="I45" s="22" t="s">
        <v>57</v>
      </c>
      <c r="J45" s="92">
        <v>6.8220000000000001</v>
      </c>
      <c r="K45" s="178">
        <f t="shared" si="0"/>
        <v>0</v>
      </c>
      <c r="L45" s="71">
        <f>+IFERROR(VLOOKUP(B45,Metraj!B:P,15,FALSE),"0")</f>
        <v>6.8220000000000001</v>
      </c>
      <c r="O45" s="81"/>
      <c r="P45" s="71"/>
      <c r="Q45" s="71">
        <v>1.9239999999999999</v>
      </c>
      <c r="R45" s="71">
        <v>2.7149999999999999</v>
      </c>
      <c r="S45" s="71">
        <v>2.1279999999999997</v>
      </c>
      <c r="T45" s="71">
        <v>5.5E-2</v>
      </c>
      <c r="V45" s="71">
        <v>0</v>
      </c>
      <c r="W45" s="71">
        <v>0</v>
      </c>
      <c r="X45" s="71">
        <v>0</v>
      </c>
      <c r="Y45" s="71">
        <v>0</v>
      </c>
      <c r="Z45" s="71">
        <f>$L45-SUM($O45:Y45)</f>
        <v>0</v>
      </c>
      <c r="AA45" s="71">
        <f>$L45-SUM($O45:Z45)</f>
        <v>0</v>
      </c>
      <c r="AB45" s="71">
        <f>$L45-SUM($O45:AA45)</f>
        <v>0</v>
      </c>
      <c r="AC45" s="71">
        <f>$L45-SUM($O45:AB45)</f>
        <v>0</v>
      </c>
      <c r="AD45" s="71">
        <f>$L45-SUM($O45:AC45)</f>
        <v>0</v>
      </c>
      <c r="AE45" s="71">
        <f>$L45-SUM($O45:AD45)</f>
        <v>0</v>
      </c>
      <c r="AF45" s="71">
        <f>$L45-SUM($O45:AE45)</f>
        <v>0</v>
      </c>
      <c r="AG45" s="71">
        <f>$L45-SUM($O45:AF45)</f>
        <v>0</v>
      </c>
      <c r="AH45" s="71">
        <f>$L45-SUM($O45:AG45)</f>
        <v>0</v>
      </c>
    </row>
    <row r="46" spans="2:34" ht="30" customHeight="1" x14ac:dyDescent="0.3">
      <c r="B46" s="29" t="s">
        <v>164</v>
      </c>
      <c r="C46" s="220" t="str">
        <f>+VLOOKUP(B46,Liste!B:E,2,FALSE)</f>
        <v>Çelik Donatı (S420a )</v>
      </c>
      <c r="D46" s="220"/>
      <c r="E46" s="220"/>
      <c r="F46" s="220"/>
      <c r="G46" s="220"/>
      <c r="H46" s="221"/>
      <c r="I46" s="22" t="s">
        <v>57</v>
      </c>
      <c r="J46" s="92">
        <v>0</v>
      </c>
      <c r="K46" s="178">
        <f t="shared" si="0"/>
        <v>0</v>
      </c>
      <c r="L46" s="71">
        <f>+IFERROR(VLOOKUP(B46,Metraj!B:P,15,FALSE),"")</f>
        <v>0</v>
      </c>
      <c r="O46" s="81"/>
      <c r="P46" s="71"/>
      <c r="Q46" s="71"/>
      <c r="R46" s="71"/>
      <c r="S46" s="71"/>
      <c r="T46" s="71"/>
      <c r="V46" s="71">
        <v>0</v>
      </c>
      <c r="W46" s="71">
        <v>0</v>
      </c>
      <c r="X46" s="71">
        <v>0</v>
      </c>
      <c r="Y46" s="71">
        <v>0</v>
      </c>
      <c r="Z46" s="71">
        <f>+IFERROR($L46-SUM($O46:Y46),0)</f>
        <v>0</v>
      </c>
      <c r="AA46" s="71">
        <f>+IFERROR($L46-SUM($O46:Z46),0)</f>
        <v>0</v>
      </c>
      <c r="AB46" s="71">
        <f>+IFERROR($L46-SUM($O46:AA46),0)</f>
        <v>0</v>
      </c>
      <c r="AC46" s="71">
        <f>+IFERROR($L46-SUM($O46:AB46),0)</f>
        <v>0</v>
      </c>
      <c r="AD46" s="71">
        <f>+IFERROR($L46-SUM($O46:AC46),0)</f>
        <v>0</v>
      </c>
      <c r="AE46" s="71">
        <f>+IFERROR($L46-SUM($O46:AD46),0)</f>
        <v>0</v>
      </c>
      <c r="AF46" s="71">
        <f>+IFERROR($L46-SUM($O46:AE46),0)</f>
        <v>0</v>
      </c>
      <c r="AG46" s="71">
        <f>+IFERROR($L46-SUM($O46:AF46),0)</f>
        <v>0</v>
      </c>
      <c r="AH46" s="71">
        <f>+IFERROR($L46-SUM($O46:AG46),0)</f>
        <v>0</v>
      </c>
    </row>
    <row r="47" spans="2:34" ht="30" customHeight="1" x14ac:dyDescent="0.3">
      <c r="B47" s="29" t="s">
        <v>166</v>
      </c>
      <c r="C47" s="220" t="str">
        <f>+VLOOKUP(B47,Liste!B:E,2,FALSE)</f>
        <v>Çelik hasır (S500 )</v>
      </c>
      <c r="D47" s="220"/>
      <c r="E47" s="220"/>
      <c r="F47" s="220"/>
      <c r="G47" s="220"/>
      <c r="H47" s="221"/>
      <c r="I47" s="22" t="s">
        <v>57</v>
      </c>
      <c r="J47" s="92">
        <v>31.791</v>
      </c>
      <c r="K47" s="178">
        <f t="shared" si="0"/>
        <v>0</v>
      </c>
      <c r="L47" s="71">
        <f>+IFERROR(VLOOKUP(B47,Metraj!B:P,15,FALSE),"0")</f>
        <v>31.791</v>
      </c>
      <c r="O47" s="81"/>
      <c r="P47" s="71"/>
      <c r="Q47" s="71">
        <v>8.1210000000000004</v>
      </c>
      <c r="R47" s="71">
        <v>12.370000000000001</v>
      </c>
      <c r="S47" s="71">
        <v>10.246</v>
      </c>
      <c r="T47" s="71">
        <v>1.054</v>
      </c>
      <c r="V47" s="71">
        <v>0</v>
      </c>
      <c r="W47" s="71">
        <v>0</v>
      </c>
      <c r="X47" s="71">
        <v>0</v>
      </c>
      <c r="Y47" s="71">
        <v>0</v>
      </c>
      <c r="Z47" s="71">
        <f>$L47-SUM($O47:Y47)</f>
        <v>0</v>
      </c>
      <c r="AA47" s="71">
        <f>$L47-SUM($O47:Z47)</f>
        <v>0</v>
      </c>
      <c r="AB47" s="71">
        <f>$L47-SUM($O47:AA47)</f>
        <v>0</v>
      </c>
      <c r="AC47" s="71">
        <f>$L47-SUM($O47:AB47)</f>
        <v>0</v>
      </c>
      <c r="AD47" s="71">
        <f>$L47-SUM($O47:AC47)</f>
        <v>0</v>
      </c>
      <c r="AE47" s="71">
        <f>$L47-SUM($O47:AD47)</f>
        <v>0</v>
      </c>
      <c r="AF47" s="71">
        <f>$L47-SUM($O47:AE47)</f>
        <v>0</v>
      </c>
      <c r="AG47" s="71">
        <f>$L47-SUM($O47:AF47)</f>
        <v>0</v>
      </c>
      <c r="AH47" s="71">
        <f>$L47-SUM($O47:AG47)</f>
        <v>0</v>
      </c>
    </row>
    <row r="48" spans="2:34" ht="30" customHeight="1" x14ac:dyDescent="0.3">
      <c r="B48" s="29" t="s">
        <v>168</v>
      </c>
      <c r="C48" s="220" t="str">
        <f>+VLOOKUP(B48,Liste!B:E,2,FALSE)</f>
        <v>Paslanmaz Çelik Plaka</v>
      </c>
      <c r="D48" s="220"/>
      <c r="E48" s="220"/>
      <c r="F48" s="220"/>
      <c r="G48" s="220"/>
      <c r="H48" s="221"/>
      <c r="I48" s="22" t="s">
        <v>170</v>
      </c>
      <c r="J48" s="92" t="s">
        <v>1098</v>
      </c>
      <c r="K48" s="178" t="e">
        <f t="shared" si="0"/>
        <v>#VALUE!</v>
      </c>
      <c r="L48" s="71" t="str">
        <f>+IFERROR(VLOOKUP(B48,Metraj!B:P,15,FALSE),"")</f>
        <v/>
      </c>
      <c r="O48" s="81"/>
      <c r="P48" s="71"/>
      <c r="Q48" s="71"/>
      <c r="R48" s="71"/>
      <c r="S48" s="71"/>
      <c r="T48" s="71"/>
      <c r="U48" s="71"/>
      <c r="V48" s="71">
        <v>0</v>
      </c>
      <c r="W48" s="71">
        <v>0</v>
      </c>
      <c r="X48" s="71">
        <v>0</v>
      </c>
      <c r="Y48" s="71">
        <v>0</v>
      </c>
      <c r="Z48" s="71">
        <f>+IFERROR($L48-SUM($O48:Y48),0)</f>
        <v>0</v>
      </c>
      <c r="AA48" s="71">
        <f>+IFERROR($L48-SUM($O48:Z48),0)</f>
        <v>0</v>
      </c>
      <c r="AB48" s="71">
        <f>+IFERROR($L48-SUM($O48:AA48),0)</f>
        <v>0</v>
      </c>
      <c r="AC48" s="71">
        <f>+IFERROR($L48-SUM($O48:AB48),0)</f>
        <v>0</v>
      </c>
      <c r="AD48" s="71">
        <f>+IFERROR($L48-SUM($O48:AC48),0)</f>
        <v>0</v>
      </c>
      <c r="AE48" s="71">
        <f>+IFERROR($L48-SUM($O48:AD48),0)</f>
        <v>0</v>
      </c>
      <c r="AF48" s="71">
        <f>+IFERROR($L48-SUM($O48:AE48),0)</f>
        <v>0</v>
      </c>
      <c r="AG48" s="71">
        <f>+IFERROR($L48-SUM($O48:AF48),0)</f>
        <v>0</v>
      </c>
      <c r="AH48" s="71">
        <f>+IFERROR($L48-SUM($O48:AG48),0)</f>
        <v>0</v>
      </c>
    </row>
    <row r="49" spans="2:34" ht="30" customHeight="1" x14ac:dyDescent="0.3">
      <c r="B49" s="29" t="s">
        <v>171</v>
      </c>
      <c r="C49" s="220" t="str">
        <f>+VLOOKUP(B49,Liste!B:E,2,FALSE)</f>
        <v>Block-out Kutusu</v>
      </c>
      <c r="D49" s="220"/>
      <c r="E49" s="220"/>
      <c r="F49" s="220"/>
      <c r="G49" s="220"/>
      <c r="H49" s="221"/>
      <c r="I49" s="22" t="s">
        <v>170</v>
      </c>
      <c r="J49" s="92" t="s">
        <v>1098</v>
      </c>
      <c r="K49" s="178" t="e">
        <f t="shared" si="0"/>
        <v>#VALUE!</v>
      </c>
      <c r="L49" s="71" t="str">
        <f>+IFERROR(VLOOKUP(B49,Metraj!B:P,15,FALSE),"")</f>
        <v/>
      </c>
      <c r="O49" s="81"/>
      <c r="P49" s="71"/>
      <c r="Q49" s="71"/>
      <c r="R49" s="71"/>
      <c r="S49" s="71"/>
      <c r="T49" s="71"/>
      <c r="U49" s="71"/>
      <c r="V49" s="71">
        <v>0</v>
      </c>
      <c r="W49" s="71">
        <v>0</v>
      </c>
      <c r="X49" s="71">
        <v>0</v>
      </c>
      <c r="Y49" s="71">
        <v>0</v>
      </c>
      <c r="Z49" s="71">
        <f>+IFERROR($L49-SUM($O49:Y49),0)</f>
        <v>0</v>
      </c>
      <c r="AA49" s="71">
        <f>+IFERROR($L49-SUM($O49:Z49),0)</f>
        <v>0</v>
      </c>
      <c r="AB49" s="71">
        <f>+IFERROR($L49-SUM($O49:AA49),0)</f>
        <v>0</v>
      </c>
      <c r="AC49" s="71">
        <f>+IFERROR($L49-SUM($O49:AB49),0)</f>
        <v>0</v>
      </c>
      <c r="AD49" s="71">
        <f>+IFERROR($L49-SUM($O49:AC49),0)</f>
        <v>0</v>
      </c>
      <c r="AE49" s="71">
        <f>+IFERROR($L49-SUM($O49:AD49),0)</f>
        <v>0</v>
      </c>
      <c r="AF49" s="71">
        <f>+IFERROR($L49-SUM($O49:AE49),0)</f>
        <v>0</v>
      </c>
      <c r="AG49" s="71">
        <f>+IFERROR($L49-SUM($O49:AF49),0)</f>
        <v>0</v>
      </c>
      <c r="AH49" s="71">
        <f>+IFERROR($L49-SUM($O49:AG49),0)</f>
        <v>0</v>
      </c>
    </row>
    <row r="50" spans="2:34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30"/>
    </row>
    <row r="51" spans="2:34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30"/>
    </row>
    <row r="52" spans="2:34" ht="15" customHeight="1" x14ac:dyDescent="0.3">
      <c r="B52" s="30"/>
      <c r="C52" s="33"/>
      <c r="D52" s="12"/>
      <c r="E52" s="12"/>
      <c r="F52" s="12"/>
      <c r="G52" s="12"/>
      <c r="H52" s="12"/>
      <c r="I52" s="12"/>
      <c r="J52" s="12"/>
      <c r="K52" s="12"/>
      <c r="L52" s="30"/>
    </row>
    <row r="53" spans="2:34" ht="15" customHeight="1" x14ac:dyDescent="0.3">
      <c r="B53" s="30"/>
      <c r="C53" s="33"/>
      <c r="D53" s="12"/>
      <c r="E53" s="12"/>
      <c r="F53" s="12"/>
      <c r="G53" s="12"/>
      <c r="H53" s="12"/>
      <c r="I53" s="12"/>
      <c r="J53" s="12"/>
      <c r="K53" s="12"/>
      <c r="L53" s="30"/>
    </row>
    <row r="54" spans="2:34" ht="15" customHeight="1" x14ac:dyDescent="0.3">
      <c r="B54" s="30"/>
      <c r="C54" s="33"/>
      <c r="D54" s="12"/>
      <c r="E54" s="12"/>
      <c r="F54" s="12"/>
      <c r="G54" s="12"/>
      <c r="H54" s="12"/>
      <c r="I54" s="12"/>
      <c r="J54" s="12"/>
      <c r="K54" s="12"/>
      <c r="L54" s="30"/>
    </row>
    <row r="55" spans="2:34" ht="15" customHeight="1" x14ac:dyDescent="0.3">
      <c r="B55" s="30"/>
      <c r="C55" s="33"/>
      <c r="D55" s="12"/>
      <c r="E55" s="12"/>
      <c r="F55" s="12"/>
      <c r="G55" s="12"/>
      <c r="H55" s="12"/>
      <c r="I55" s="12"/>
      <c r="J55" s="12"/>
      <c r="K55" s="12"/>
      <c r="L55" s="30"/>
    </row>
    <row r="56" spans="2:34" ht="15" customHeight="1" x14ac:dyDescent="0.3">
      <c r="B56" s="30"/>
      <c r="C56" s="33"/>
      <c r="D56" s="12"/>
      <c r="E56" s="12"/>
      <c r="F56" s="12"/>
      <c r="G56" s="12"/>
      <c r="H56" s="12"/>
      <c r="I56" s="12"/>
      <c r="J56" s="12"/>
      <c r="K56" s="12"/>
      <c r="L56" s="30"/>
    </row>
    <row r="57" spans="2:34" ht="15" customHeight="1" x14ac:dyDescent="0.3">
      <c r="B57" s="30"/>
      <c r="C57" s="33"/>
      <c r="D57" s="12"/>
      <c r="E57" s="12"/>
      <c r="F57" s="12"/>
      <c r="G57" s="12"/>
      <c r="H57" s="12"/>
      <c r="I57" s="12"/>
      <c r="J57" s="12"/>
      <c r="K57" s="12"/>
      <c r="L57" s="30"/>
    </row>
    <row r="58" spans="2:34" ht="15" customHeight="1" x14ac:dyDescent="0.3">
      <c r="B58" s="30"/>
      <c r="C58" s="33"/>
      <c r="D58" s="12"/>
      <c r="E58" s="12"/>
      <c r="F58" s="12"/>
      <c r="G58" s="12"/>
      <c r="H58" s="12"/>
      <c r="I58" s="12"/>
      <c r="J58" s="12"/>
      <c r="K58" s="12"/>
      <c r="L58" s="30"/>
    </row>
    <row r="59" spans="2:34" ht="15" customHeight="1" x14ac:dyDescent="0.3">
      <c r="B59" s="30"/>
      <c r="C59" s="33"/>
      <c r="D59" s="12"/>
      <c r="E59" s="12"/>
      <c r="F59" s="12"/>
      <c r="G59" s="12"/>
      <c r="H59" s="12"/>
      <c r="I59" s="12"/>
      <c r="J59" s="12"/>
      <c r="K59" s="12"/>
      <c r="L59" s="30"/>
    </row>
    <row r="60" spans="2:34" ht="15" customHeight="1" x14ac:dyDescent="0.3">
      <c r="B60" s="30"/>
      <c r="C60" s="33"/>
      <c r="D60" s="12"/>
      <c r="E60" s="12"/>
      <c r="F60" s="12"/>
      <c r="G60" s="12"/>
      <c r="H60" s="12"/>
      <c r="I60" s="12"/>
      <c r="J60" s="12"/>
      <c r="K60" s="12"/>
      <c r="L60" s="30"/>
    </row>
    <row r="61" spans="2:34" ht="15" customHeight="1" x14ac:dyDescent="0.3">
      <c r="B61" s="30"/>
      <c r="C61" s="33"/>
      <c r="D61" s="12"/>
      <c r="E61" s="12"/>
      <c r="F61" s="12"/>
      <c r="G61" s="12"/>
      <c r="H61" s="12"/>
      <c r="I61" s="12"/>
      <c r="J61" s="12"/>
      <c r="K61" s="12"/>
      <c r="L61" s="30"/>
    </row>
    <row r="62" spans="2:34" ht="15" customHeight="1" x14ac:dyDescent="0.3">
      <c r="B62" s="30"/>
      <c r="C62" s="33"/>
      <c r="D62" s="12"/>
      <c r="E62" s="12"/>
      <c r="F62" s="12"/>
      <c r="G62" s="12"/>
      <c r="H62" s="12"/>
      <c r="I62" s="12"/>
      <c r="J62" s="12"/>
      <c r="K62" s="12"/>
      <c r="L62" s="30"/>
    </row>
    <row r="63" spans="2:34" ht="15" customHeight="1" x14ac:dyDescent="0.3">
      <c r="B63" s="30"/>
      <c r="C63" s="33"/>
      <c r="D63" s="12"/>
      <c r="E63" s="12"/>
      <c r="F63" s="12"/>
      <c r="G63" s="12"/>
      <c r="H63" s="12"/>
      <c r="I63" s="12"/>
      <c r="J63" s="12"/>
      <c r="K63" s="12"/>
      <c r="L63" s="30"/>
    </row>
    <row r="64" spans="2:34" ht="15" customHeight="1" x14ac:dyDescent="0.3">
      <c r="B64" s="30"/>
      <c r="C64" s="33"/>
      <c r="D64" s="12"/>
      <c r="E64" s="12"/>
      <c r="F64" s="12"/>
      <c r="G64" s="12"/>
      <c r="H64" s="12"/>
      <c r="I64" s="12"/>
      <c r="J64" s="12"/>
      <c r="K64" s="12"/>
      <c r="L64" s="30"/>
    </row>
    <row r="65" spans="2:12" ht="15" customHeight="1" x14ac:dyDescent="0.3">
      <c r="B65" s="30"/>
      <c r="C65" s="33"/>
      <c r="D65" s="12"/>
      <c r="E65" s="12"/>
      <c r="F65" s="12"/>
      <c r="G65" s="12"/>
      <c r="H65" s="12"/>
      <c r="I65" s="12"/>
      <c r="J65" s="12"/>
      <c r="K65" s="12"/>
      <c r="L65" s="30"/>
    </row>
    <row r="66" spans="2:12" ht="15" customHeight="1" x14ac:dyDescent="0.3">
      <c r="B66" s="30"/>
      <c r="C66" s="33"/>
      <c r="D66" s="12"/>
      <c r="E66" s="12"/>
      <c r="F66" s="12"/>
      <c r="G66" s="12"/>
      <c r="H66" s="12"/>
      <c r="I66" s="12"/>
      <c r="J66" s="12"/>
      <c r="K66" s="12"/>
      <c r="L66" s="30"/>
    </row>
    <row r="67" spans="2:12" ht="15" customHeight="1" x14ac:dyDescent="0.3">
      <c r="B67" s="30"/>
      <c r="C67" s="33"/>
      <c r="D67" s="12"/>
      <c r="E67" s="12"/>
      <c r="F67" s="12"/>
      <c r="G67" s="12"/>
      <c r="H67" s="12"/>
      <c r="I67" s="12"/>
      <c r="J67" s="12"/>
      <c r="K67" s="12"/>
      <c r="L67" s="30"/>
    </row>
    <row r="68" spans="2:12" ht="15" customHeight="1" x14ac:dyDescent="0.3">
      <c r="B68" s="30"/>
      <c r="C68" s="33"/>
      <c r="D68" s="12"/>
      <c r="E68" s="12"/>
      <c r="F68" s="12"/>
      <c r="G68" s="12"/>
      <c r="H68" s="12"/>
      <c r="I68" s="12"/>
      <c r="J68" s="12"/>
      <c r="K68" s="12"/>
      <c r="L68" s="30"/>
    </row>
    <row r="69" spans="2:12" ht="15" customHeight="1" x14ac:dyDescent="0.3">
      <c r="B69" s="30"/>
      <c r="C69" s="33"/>
      <c r="D69" s="12"/>
      <c r="E69" s="12"/>
      <c r="F69" s="12"/>
      <c r="G69" s="12"/>
      <c r="H69" s="12"/>
      <c r="I69" s="12"/>
      <c r="J69" s="12"/>
      <c r="K69" s="12"/>
      <c r="L69" s="30"/>
    </row>
    <row r="70" spans="2:12" ht="15" customHeight="1" x14ac:dyDescent="0.3">
      <c r="B70" s="30"/>
      <c r="C70" s="33"/>
      <c r="D70" s="12"/>
      <c r="E70" s="12"/>
      <c r="F70" s="12"/>
      <c r="G70" s="12"/>
      <c r="H70" s="12"/>
      <c r="I70" s="12"/>
      <c r="J70" s="12"/>
      <c r="K70" s="12"/>
      <c r="L70" s="30"/>
    </row>
    <row r="75" spans="2:12" ht="15" customHeight="1" x14ac:dyDescent="0.3">
      <c r="B75" s="214"/>
      <c r="C75" s="214"/>
      <c r="D75" s="214"/>
      <c r="E75" s="215"/>
      <c r="F75" s="215"/>
      <c r="G75" s="215"/>
      <c r="H75" s="214"/>
      <c r="I75" s="214"/>
      <c r="J75" s="214"/>
      <c r="K75" s="214"/>
      <c r="L75" s="214"/>
    </row>
    <row r="76" spans="2:12" ht="15" customHeight="1" x14ac:dyDescent="0.3">
      <c r="B76" s="210"/>
      <c r="C76" s="210"/>
      <c r="D76" s="210"/>
      <c r="E76" s="211"/>
      <c r="F76" s="211"/>
      <c r="G76" s="211"/>
      <c r="H76" s="211"/>
      <c r="I76" s="211"/>
      <c r="J76" s="211"/>
      <c r="K76" s="211"/>
      <c r="L76" s="211"/>
    </row>
    <row r="77" spans="2:12" ht="15" customHeight="1" x14ac:dyDescent="0.3">
      <c r="B77" s="30"/>
      <c r="C77" s="30"/>
      <c r="D77" s="31"/>
      <c r="E77" s="31"/>
      <c r="F77" s="31"/>
      <c r="G77" s="32"/>
      <c r="H77" s="211"/>
      <c r="I77" s="211"/>
      <c r="J77" s="211"/>
      <c r="K77" s="211"/>
      <c r="L77" s="211"/>
    </row>
    <row r="78" spans="2:12" ht="15" customHeight="1" x14ac:dyDescent="0.3">
      <c r="H78" s="211"/>
      <c r="I78" s="211"/>
      <c r="J78" s="211"/>
      <c r="K78" s="211"/>
      <c r="L78" s="211"/>
    </row>
    <row r="86" spans="2:12" ht="15" customHeight="1" x14ac:dyDescent="0.3">
      <c r="B86" s="210"/>
      <c r="C86" s="210"/>
      <c r="D86" s="210"/>
      <c r="E86" s="210"/>
      <c r="F86" s="210"/>
      <c r="G86" s="210"/>
      <c r="H86" s="210"/>
      <c r="I86" s="210"/>
      <c r="J86" s="210"/>
      <c r="K86" s="210"/>
      <c r="L86" s="210"/>
    </row>
    <row r="87" spans="2:12" ht="15" customHeight="1" x14ac:dyDescent="0.3">
      <c r="B87" s="210"/>
      <c r="C87" s="210"/>
      <c r="D87" s="210"/>
      <c r="E87" s="210"/>
      <c r="F87" s="210"/>
      <c r="G87" s="210"/>
      <c r="H87" s="210"/>
      <c r="I87" s="210"/>
      <c r="J87" s="210"/>
      <c r="K87" s="210"/>
      <c r="L87" s="210"/>
    </row>
  </sheetData>
  <autoFilter ref="A19:M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B86:D86"/>
    <mergeCell ref="B87:D87"/>
    <mergeCell ref="H86:L86"/>
    <mergeCell ref="H87:L87"/>
    <mergeCell ref="E86:G86"/>
    <mergeCell ref="E87:G87"/>
    <mergeCell ref="C19:H19"/>
    <mergeCell ref="C20:H20"/>
    <mergeCell ref="B75:D75"/>
    <mergeCell ref="A5:M5"/>
    <mergeCell ref="A6:M6"/>
    <mergeCell ref="A7:M7"/>
    <mergeCell ref="A10:M10"/>
    <mergeCell ref="A12:M12"/>
    <mergeCell ref="C21:H21"/>
    <mergeCell ref="C22:H22"/>
    <mergeCell ref="C23:H23"/>
    <mergeCell ref="C24:H24"/>
    <mergeCell ref="C25:H25"/>
    <mergeCell ref="C26:H26"/>
    <mergeCell ref="C27:H27"/>
    <mergeCell ref="C28:H28"/>
    <mergeCell ref="B76:D76"/>
    <mergeCell ref="H75:L75"/>
    <mergeCell ref="E75:G75"/>
    <mergeCell ref="H76:L78"/>
    <mergeCell ref="E76:G76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  <headerFooter>
    <oddFooter>&amp;L
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367"/>
  <sheetViews>
    <sheetView tabSelected="1" view="pageBreakPreview" zoomScale="85" zoomScaleNormal="100" zoomScaleSheetLayoutView="85" workbookViewId="0">
      <selection activeCell="AE2" sqref="AE2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7.3320312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29" width="16.88671875" style="9" bestFit="1" customWidth="1"/>
    <col min="30" max="30" width="12.109375" style="9" bestFit="1" customWidth="1"/>
    <col min="31" max="31" width="16.88671875" style="9" bestFit="1" customWidth="1"/>
    <col min="32" max="16384" width="8.88671875" style="9"/>
  </cols>
  <sheetData>
    <row r="1" spans="1:31" ht="15" customHeight="1" x14ac:dyDescent="0.3">
      <c r="AC1" s="9" t="s">
        <v>1094</v>
      </c>
      <c r="AD1" s="9" t="s">
        <v>1095</v>
      </c>
      <c r="AE1" s="9" t="s">
        <v>1096</v>
      </c>
    </row>
    <row r="2" spans="1:31" s="181" customFormat="1" ht="15" customHeight="1" x14ac:dyDescent="0.3">
      <c r="A2" s="188" t="s">
        <v>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AC2" s="181">
        <f>+SUM(AC17:AC1000)</f>
        <v>57536707.721000001</v>
      </c>
      <c r="AD2" s="181">
        <f>+SUM(AD17:AD1000)</f>
        <v>0</v>
      </c>
      <c r="AE2" s="181">
        <f>+SUM(AE17:AE1000)</f>
        <v>57536707.721000001</v>
      </c>
    </row>
    <row r="3" spans="1:31" s="181" customFormat="1" ht="15" customHeight="1" x14ac:dyDescent="0.3">
      <c r="A3" s="188" t="s">
        <v>1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</row>
    <row r="4" spans="1:31" s="181" customFormat="1" ht="15" customHeight="1" x14ac:dyDescent="0.3">
      <c r="A4" s="188" t="s">
        <v>1034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</row>
    <row r="5" spans="1:31" s="181" customFormat="1" ht="15" customHeight="1" x14ac:dyDescent="0.3">
      <c r="A5" s="180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</row>
    <row r="6" spans="1:31" s="181" customFormat="1" ht="15" customHeight="1" x14ac:dyDescent="0.3">
      <c r="A6" s="182"/>
      <c r="B6" s="182"/>
    </row>
    <row r="7" spans="1:31" s="181" customFormat="1" ht="15" customHeight="1" x14ac:dyDescent="0.3">
      <c r="A7" s="188" t="s">
        <v>2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</row>
    <row r="8" spans="1:31" s="181" customFormat="1" ht="15" customHeight="1" x14ac:dyDescent="0.3">
      <c r="A8" s="182"/>
      <c r="B8" s="182"/>
    </row>
    <row r="9" spans="1:31" s="181" customFormat="1" ht="15" customHeight="1" x14ac:dyDescent="0.3">
      <c r="A9" s="188" t="str">
        <f>+Kapak!A28</f>
        <v>Barbaros İstasyonu Hat - 1 Halkalı Yönü P1 Tüneli 1.Aşama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</row>
    <row r="10" spans="1:31" s="181" customFormat="1" ht="15" customHeight="1" x14ac:dyDescent="0.3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</row>
    <row r="11" spans="1:31" s="181" customFormat="1" ht="15" customHeight="1" x14ac:dyDescent="0.3">
      <c r="A11" s="188" t="s">
        <v>982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</row>
    <row r="13" spans="1:31" ht="15" customHeight="1" x14ac:dyDescent="0.3">
      <c r="B13" s="14" t="s">
        <v>5</v>
      </c>
      <c r="C13" s="79">
        <f>+İcmal!C15</f>
        <v>5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80">
        <f>+İcmal!C16</f>
        <v>46112</v>
      </c>
      <c r="D14" s="192"/>
      <c r="E14" s="192"/>
      <c r="F14" s="13"/>
      <c r="G14" s="13"/>
      <c r="H14" s="11"/>
      <c r="I14" s="11"/>
      <c r="J14" s="11"/>
    </row>
    <row r="16" spans="1:31" ht="30" customHeight="1" x14ac:dyDescent="0.3">
      <c r="B16" s="186" t="s">
        <v>7</v>
      </c>
      <c r="C16" s="189"/>
      <c r="D16" s="186" t="s">
        <v>8</v>
      </c>
      <c r="E16" s="187"/>
      <c r="F16" s="187"/>
      <c r="G16" s="187"/>
      <c r="H16" s="187"/>
      <c r="I16" s="187"/>
      <c r="J16" s="187"/>
      <c r="K16" s="187"/>
      <c r="L16" s="187"/>
      <c r="M16" s="34" t="s">
        <v>9</v>
      </c>
      <c r="N16" s="85" t="s">
        <v>1084</v>
      </c>
      <c r="O16" s="85" t="s">
        <v>1085</v>
      </c>
      <c r="P16" s="35" t="s">
        <v>1086</v>
      </c>
    </row>
    <row r="17" spans="2:31" ht="30" customHeight="1" x14ac:dyDescent="0.3">
      <c r="B17" s="190" t="s">
        <v>119</v>
      </c>
      <c r="C17" s="191"/>
      <c r="D17" s="207" t="str">
        <f>+VLOOKUP(B17,Liste!B:E,2,FALSE)</f>
        <v>Geleneksel (NATM) Tünel Kazısı</v>
      </c>
      <c r="E17" s="208"/>
      <c r="F17" s="208"/>
      <c r="G17" s="208"/>
      <c r="H17" s="208"/>
      <c r="I17" s="208"/>
      <c r="J17" s="208"/>
      <c r="K17" s="208"/>
      <c r="L17" s="208"/>
      <c r="M17" s="36" t="str">
        <f>+VLOOKUP(B17,Liste!B:E,3,FALSE)</f>
        <v>m³</v>
      </c>
      <c r="N17" s="60">
        <v>2044.3040000000001</v>
      </c>
      <c r="O17" s="60">
        <f>+P17-N17</f>
        <v>0</v>
      </c>
      <c r="P17" s="60">
        <f>+ROUND(SUM(P18:P96),3)</f>
        <v>2044.3040000000001</v>
      </c>
      <c r="S17" s="89"/>
      <c r="AA17" s="9">
        <f>+VLOOKUP(B17,[1]Liste!$B$2:$F$483,5,FALSE)</f>
        <v>5075</v>
      </c>
      <c r="AC17" s="9">
        <f>+AA17*N17</f>
        <v>10374842.800000001</v>
      </c>
      <c r="AD17" s="9">
        <f>+AA17*O17</f>
        <v>0</v>
      </c>
      <c r="AE17" s="9">
        <f>+AA17*P17</f>
        <v>10374842.800000001</v>
      </c>
    </row>
    <row r="18" spans="2:31" ht="15" customHeight="1" x14ac:dyDescent="0.3">
      <c r="B18" s="51" t="s">
        <v>1015</v>
      </c>
      <c r="C18" s="78"/>
      <c r="D18" s="45"/>
      <c r="E18" s="45"/>
      <c r="F18" s="45"/>
      <c r="G18" s="45"/>
      <c r="H18" s="46"/>
      <c r="I18" s="46"/>
      <c r="J18" s="46"/>
      <c r="K18" s="47"/>
      <c r="L18" s="47"/>
      <c r="M18" s="48"/>
      <c r="N18" s="48"/>
      <c r="O18" s="49"/>
      <c r="P18" s="50"/>
    </row>
    <row r="19" spans="2:31" ht="15" customHeight="1" x14ac:dyDescent="0.3">
      <c r="B19" s="93" t="s">
        <v>981</v>
      </c>
      <c r="C19" s="93" t="s">
        <v>991</v>
      </c>
      <c r="D19" s="94" t="s">
        <v>990</v>
      </c>
      <c r="E19" s="94"/>
      <c r="F19" s="94"/>
      <c r="G19" s="94"/>
      <c r="H19" s="93" t="s">
        <v>988</v>
      </c>
      <c r="I19" s="93" t="s">
        <v>987</v>
      </c>
      <c r="J19" s="93" t="s">
        <v>992</v>
      </c>
      <c r="K19" s="93" t="s">
        <v>989</v>
      </c>
      <c r="L19" s="93" t="s">
        <v>985</v>
      </c>
      <c r="M19" s="93" t="s">
        <v>12</v>
      </c>
      <c r="N19" s="93"/>
      <c r="O19" s="95" t="s">
        <v>983</v>
      </c>
      <c r="P19" s="95" t="s">
        <v>14</v>
      </c>
    </row>
    <row r="20" spans="2:31" ht="15" customHeight="1" x14ac:dyDescent="0.3">
      <c r="B20" s="104">
        <v>3</v>
      </c>
      <c r="C20" s="105" t="s">
        <v>1059</v>
      </c>
      <c r="D20" s="106" t="s">
        <v>1060</v>
      </c>
      <c r="E20" s="106"/>
      <c r="F20" s="106"/>
      <c r="G20" s="106"/>
      <c r="H20" s="107">
        <v>1358.63</v>
      </c>
      <c r="I20" s="107">
        <v>1372.13</v>
      </c>
      <c r="J20" s="107" t="s">
        <v>993</v>
      </c>
      <c r="K20" s="104">
        <v>3</v>
      </c>
      <c r="L20" s="104">
        <v>0.75</v>
      </c>
      <c r="M20" s="108" t="s">
        <v>1008</v>
      </c>
      <c r="N20" s="109"/>
      <c r="O20" s="110">
        <v>33.408000000000001</v>
      </c>
      <c r="P20" s="111">
        <f t="shared" ref="P20:P37" si="0">+ROUND(PRODUCT(K20:O20),3)</f>
        <v>75.168000000000006</v>
      </c>
    </row>
    <row r="21" spans="2:31" ht="15" customHeight="1" x14ac:dyDescent="0.3">
      <c r="B21" s="56">
        <v>3</v>
      </c>
      <c r="C21" s="53" t="s">
        <v>1059</v>
      </c>
      <c r="D21" s="54" t="s">
        <v>1060</v>
      </c>
      <c r="E21" s="54"/>
      <c r="F21" s="54"/>
      <c r="G21" s="54"/>
      <c r="H21" s="55">
        <v>1358.63</v>
      </c>
      <c r="I21" s="55">
        <v>1372.13</v>
      </c>
      <c r="J21" s="55" t="s">
        <v>993</v>
      </c>
      <c r="K21" s="56">
        <v>3</v>
      </c>
      <c r="L21" s="56">
        <v>0.75</v>
      </c>
      <c r="M21" s="83" t="s">
        <v>1009</v>
      </c>
      <c r="N21" s="84"/>
      <c r="O21" s="61">
        <v>35.640999999999998</v>
      </c>
      <c r="P21" s="62">
        <f t="shared" si="0"/>
        <v>80.191999999999993</v>
      </c>
    </row>
    <row r="22" spans="2:31" ht="15" customHeight="1" x14ac:dyDescent="0.3">
      <c r="B22" s="56">
        <v>3</v>
      </c>
      <c r="C22" s="53" t="s">
        <v>1059</v>
      </c>
      <c r="D22" s="54" t="s">
        <v>1060</v>
      </c>
      <c r="E22" s="54"/>
      <c r="F22" s="54"/>
      <c r="G22" s="54"/>
      <c r="H22" s="55">
        <v>1358.63</v>
      </c>
      <c r="I22" s="55">
        <v>1372.13</v>
      </c>
      <c r="J22" s="55" t="s">
        <v>993</v>
      </c>
      <c r="K22" s="56">
        <v>3</v>
      </c>
      <c r="L22" s="56">
        <v>0.75</v>
      </c>
      <c r="M22" s="83" t="s">
        <v>1010</v>
      </c>
      <c r="N22" s="84"/>
      <c r="O22" s="61">
        <v>37.960999999999999</v>
      </c>
      <c r="P22" s="62">
        <f t="shared" si="0"/>
        <v>85.412000000000006</v>
      </c>
    </row>
    <row r="23" spans="2:31" ht="15" customHeight="1" x14ac:dyDescent="0.3">
      <c r="B23" s="56">
        <v>3</v>
      </c>
      <c r="C23" s="53" t="s">
        <v>1059</v>
      </c>
      <c r="D23" s="54" t="s">
        <v>1060</v>
      </c>
      <c r="E23" s="54"/>
      <c r="F23" s="54"/>
      <c r="G23" s="54"/>
      <c r="H23" s="55">
        <v>1358.63</v>
      </c>
      <c r="I23" s="55">
        <v>1372.13</v>
      </c>
      <c r="J23" s="55" t="s">
        <v>993</v>
      </c>
      <c r="K23" s="56">
        <v>3</v>
      </c>
      <c r="L23" s="56">
        <v>0.75</v>
      </c>
      <c r="M23" s="83" t="s">
        <v>1011</v>
      </c>
      <c r="N23" s="84"/>
      <c r="O23" s="61">
        <v>40.220999999999997</v>
      </c>
      <c r="P23" s="62">
        <f t="shared" si="0"/>
        <v>90.497</v>
      </c>
    </row>
    <row r="24" spans="2:31" ht="15" customHeight="1" x14ac:dyDescent="0.3">
      <c r="B24" s="56">
        <v>3</v>
      </c>
      <c r="C24" s="53" t="s">
        <v>1059</v>
      </c>
      <c r="D24" s="54" t="s">
        <v>1060</v>
      </c>
      <c r="E24" s="54"/>
      <c r="F24" s="54"/>
      <c r="G24" s="54"/>
      <c r="H24" s="55">
        <v>1358.63</v>
      </c>
      <c r="I24" s="55">
        <v>1372.13</v>
      </c>
      <c r="J24" s="55" t="s">
        <v>993</v>
      </c>
      <c r="K24" s="56">
        <v>3</v>
      </c>
      <c r="L24" s="56">
        <v>0.75</v>
      </c>
      <c r="M24" s="83" t="s">
        <v>1012</v>
      </c>
      <c r="N24" s="84"/>
      <c r="O24" s="61">
        <v>42.5</v>
      </c>
      <c r="P24" s="62">
        <f t="shared" si="0"/>
        <v>95.625</v>
      </c>
    </row>
    <row r="25" spans="2:31" ht="15" customHeight="1" x14ac:dyDescent="0.3">
      <c r="B25" s="56">
        <v>3</v>
      </c>
      <c r="C25" s="53" t="s">
        <v>1059</v>
      </c>
      <c r="D25" s="54" t="s">
        <v>1060</v>
      </c>
      <c r="E25" s="54"/>
      <c r="F25" s="54"/>
      <c r="G25" s="54"/>
      <c r="H25" s="55">
        <v>1358.63</v>
      </c>
      <c r="I25" s="55">
        <v>1372.13</v>
      </c>
      <c r="J25" s="55" t="s">
        <v>993</v>
      </c>
      <c r="K25" s="56">
        <v>3</v>
      </c>
      <c r="L25" s="56">
        <v>0.75</v>
      </c>
      <c r="M25" s="83" t="s">
        <v>1013</v>
      </c>
      <c r="N25" s="84"/>
      <c r="O25" s="61">
        <v>44.921999999999997</v>
      </c>
      <c r="P25" s="62">
        <f t="shared" si="0"/>
        <v>101.075</v>
      </c>
    </row>
    <row r="26" spans="2:31" ht="15" customHeight="1" x14ac:dyDescent="0.3">
      <c r="B26" s="104">
        <v>3</v>
      </c>
      <c r="C26" s="105" t="s">
        <v>1063</v>
      </c>
      <c r="D26" s="106" t="s">
        <v>1064</v>
      </c>
      <c r="E26" s="106"/>
      <c r="F26" s="106"/>
      <c r="G26" s="106"/>
      <c r="H26" s="107">
        <v>1372.13</v>
      </c>
      <c r="I26" s="107">
        <v>1390.13</v>
      </c>
      <c r="J26" s="107" t="s">
        <v>993</v>
      </c>
      <c r="K26" s="104">
        <v>4</v>
      </c>
      <c r="L26" s="104">
        <v>0.75</v>
      </c>
      <c r="M26" s="112" t="s">
        <v>1008</v>
      </c>
      <c r="N26" s="113"/>
      <c r="O26" s="110">
        <v>33.408000000000001</v>
      </c>
      <c r="P26" s="111">
        <f t="shared" si="0"/>
        <v>100.224</v>
      </c>
    </row>
    <row r="27" spans="2:31" ht="15" customHeight="1" x14ac:dyDescent="0.3">
      <c r="B27" s="56">
        <v>3</v>
      </c>
      <c r="C27" s="53" t="s">
        <v>1063</v>
      </c>
      <c r="D27" s="54" t="s">
        <v>1064</v>
      </c>
      <c r="E27" s="54"/>
      <c r="F27" s="54"/>
      <c r="G27" s="54"/>
      <c r="H27" s="55">
        <v>1372.13</v>
      </c>
      <c r="I27" s="55">
        <v>1390.13</v>
      </c>
      <c r="J27" s="55" t="s">
        <v>993</v>
      </c>
      <c r="K27" s="56">
        <v>4</v>
      </c>
      <c r="L27" s="56">
        <v>0.75</v>
      </c>
      <c r="M27" s="83" t="s">
        <v>1009</v>
      </c>
      <c r="N27" s="84"/>
      <c r="O27" s="61">
        <v>35.640999999999998</v>
      </c>
      <c r="P27" s="62">
        <f t="shared" si="0"/>
        <v>106.923</v>
      </c>
    </row>
    <row r="28" spans="2:31" ht="15" customHeight="1" x14ac:dyDescent="0.3">
      <c r="B28" s="56">
        <v>3</v>
      </c>
      <c r="C28" s="53" t="s">
        <v>1063</v>
      </c>
      <c r="D28" s="54" t="s">
        <v>1064</v>
      </c>
      <c r="E28" s="54"/>
      <c r="F28" s="54"/>
      <c r="G28" s="54"/>
      <c r="H28" s="55">
        <v>1372.13</v>
      </c>
      <c r="I28" s="55">
        <v>1390.13</v>
      </c>
      <c r="J28" s="55" t="s">
        <v>993</v>
      </c>
      <c r="K28" s="56">
        <v>4</v>
      </c>
      <c r="L28" s="56">
        <v>0.75</v>
      </c>
      <c r="M28" s="83" t="s">
        <v>1010</v>
      </c>
      <c r="N28" s="84"/>
      <c r="O28" s="61">
        <v>37.960999999999999</v>
      </c>
      <c r="P28" s="62">
        <f t="shared" si="0"/>
        <v>113.883</v>
      </c>
    </row>
    <row r="29" spans="2:31" ht="15" customHeight="1" x14ac:dyDescent="0.3">
      <c r="B29" s="56">
        <v>3</v>
      </c>
      <c r="C29" s="53" t="s">
        <v>1063</v>
      </c>
      <c r="D29" s="54" t="s">
        <v>1064</v>
      </c>
      <c r="E29" s="54"/>
      <c r="F29" s="54"/>
      <c r="G29" s="54"/>
      <c r="H29" s="55">
        <v>1372.13</v>
      </c>
      <c r="I29" s="55">
        <v>1390.13</v>
      </c>
      <c r="J29" s="55" t="s">
        <v>993</v>
      </c>
      <c r="K29" s="56">
        <v>4</v>
      </c>
      <c r="L29" s="56">
        <v>0.75</v>
      </c>
      <c r="M29" s="83" t="s">
        <v>1011</v>
      </c>
      <c r="N29" s="84"/>
      <c r="O29" s="61">
        <v>40.220999999999997</v>
      </c>
      <c r="P29" s="62">
        <f t="shared" si="0"/>
        <v>120.663</v>
      </c>
    </row>
    <row r="30" spans="2:31" ht="15" customHeight="1" x14ac:dyDescent="0.3">
      <c r="B30" s="56">
        <v>3</v>
      </c>
      <c r="C30" s="53" t="s">
        <v>1063</v>
      </c>
      <c r="D30" s="54" t="s">
        <v>1064</v>
      </c>
      <c r="E30" s="54"/>
      <c r="F30" s="54"/>
      <c r="G30" s="54"/>
      <c r="H30" s="55">
        <v>1372.13</v>
      </c>
      <c r="I30" s="55">
        <v>1390.13</v>
      </c>
      <c r="J30" s="55" t="s">
        <v>993</v>
      </c>
      <c r="K30" s="56">
        <v>4</v>
      </c>
      <c r="L30" s="56">
        <v>0.75</v>
      </c>
      <c r="M30" s="83" t="s">
        <v>1012</v>
      </c>
      <c r="N30" s="84"/>
      <c r="O30" s="61">
        <v>42.5</v>
      </c>
      <c r="P30" s="62">
        <f t="shared" si="0"/>
        <v>127.5</v>
      </c>
    </row>
    <row r="31" spans="2:31" ht="15" customHeight="1" x14ac:dyDescent="0.3">
      <c r="B31" s="56">
        <v>3</v>
      </c>
      <c r="C31" s="53" t="s">
        <v>1063</v>
      </c>
      <c r="D31" s="54" t="s">
        <v>1064</v>
      </c>
      <c r="E31" s="54"/>
      <c r="F31" s="54"/>
      <c r="G31" s="54"/>
      <c r="H31" s="55">
        <v>1372.13</v>
      </c>
      <c r="I31" s="55">
        <v>1390.13</v>
      </c>
      <c r="J31" s="55" t="s">
        <v>993</v>
      </c>
      <c r="K31" s="56">
        <v>4</v>
      </c>
      <c r="L31" s="56">
        <v>0.75</v>
      </c>
      <c r="M31" s="83" t="s">
        <v>1013</v>
      </c>
      <c r="N31" s="84"/>
      <c r="O31" s="61">
        <v>44.921999999999997</v>
      </c>
      <c r="P31" s="62">
        <f t="shared" si="0"/>
        <v>134.76599999999999</v>
      </c>
    </row>
    <row r="32" spans="2:31" ht="15" customHeight="1" x14ac:dyDescent="0.3">
      <c r="B32" s="96">
        <v>3</v>
      </c>
      <c r="C32" s="97" t="s">
        <v>1075</v>
      </c>
      <c r="D32" s="98" t="s">
        <v>1076</v>
      </c>
      <c r="E32" s="98"/>
      <c r="F32" s="98"/>
      <c r="G32" s="98"/>
      <c r="H32" s="99">
        <v>1390.13</v>
      </c>
      <c r="I32" s="99">
        <v>1404.56</v>
      </c>
      <c r="J32" s="99" t="s">
        <v>993</v>
      </c>
      <c r="K32" s="96">
        <v>3</v>
      </c>
      <c r="L32" s="96">
        <v>0.75</v>
      </c>
      <c r="M32" s="100" t="s">
        <v>1008</v>
      </c>
      <c r="N32" s="101"/>
      <c r="O32" s="102">
        <v>33.408000000000001</v>
      </c>
      <c r="P32" s="103">
        <f t="shared" si="0"/>
        <v>75.168000000000006</v>
      </c>
    </row>
    <row r="33" spans="2:16" ht="15" customHeight="1" x14ac:dyDescent="0.3">
      <c r="B33" s="56">
        <v>3</v>
      </c>
      <c r="C33" s="53" t="s">
        <v>1075</v>
      </c>
      <c r="D33" s="54" t="s">
        <v>1076</v>
      </c>
      <c r="E33" s="54"/>
      <c r="F33" s="54"/>
      <c r="G33" s="54"/>
      <c r="H33" s="55">
        <v>1390.13</v>
      </c>
      <c r="I33" s="55">
        <v>1404.56</v>
      </c>
      <c r="J33" s="55" t="s">
        <v>993</v>
      </c>
      <c r="K33" s="56">
        <v>3</v>
      </c>
      <c r="L33" s="56">
        <v>0.75</v>
      </c>
      <c r="M33" s="83" t="s">
        <v>1009</v>
      </c>
      <c r="N33" s="84"/>
      <c r="O33" s="61">
        <v>35.640999999999998</v>
      </c>
      <c r="P33" s="62">
        <f t="shared" si="0"/>
        <v>80.191999999999993</v>
      </c>
    </row>
    <row r="34" spans="2:16" ht="15" customHeight="1" x14ac:dyDescent="0.3">
      <c r="B34" s="56">
        <v>3</v>
      </c>
      <c r="C34" s="53" t="s">
        <v>1075</v>
      </c>
      <c r="D34" s="54" t="s">
        <v>1076</v>
      </c>
      <c r="E34" s="54"/>
      <c r="F34" s="54"/>
      <c r="G34" s="54"/>
      <c r="H34" s="55">
        <v>1390.13</v>
      </c>
      <c r="I34" s="55">
        <v>1404.56</v>
      </c>
      <c r="J34" s="55" t="s">
        <v>993</v>
      </c>
      <c r="K34" s="56">
        <v>3</v>
      </c>
      <c r="L34" s="56">
        <v>0.75</v>
      </c>
      <c r="M34" s="83" t="s">
        <v>1010</v>
      </c>
      <c r="N34" s="84"/>
      <c r="O34" s="61">
        <v>37.960999999999999</v>
      </c>
      <c r="P34" s="62">
        <f t="shared" si="0"/>
        <v>85.412000000000006</v>
      </c>
    </row>
    <row r="35" spans="2:16" ht="15" customHeight="1" x14ac:dyDescent="0.3">
      <c r="B35" s="56">
        <v>3</v>
      </c>
      <c r="C35" s="53" t="s">
        <v>1075</v>
      </c>
      <c r="D35" s="54" t="s">
        <v>1076</v>
      </c>
      <c r="E35" s="54"/>
      <c r="F35" s="54"/>
      <c r="G35" s="54"/>
      <c r="H35" s="55">
        <v>1390.13</v>
      </c>
      <c r="I35" s="55">
        <v>1404.56</v>
      </c>
      <c r="J35" s="55" t="s">
        <v>993</v>
      </c>
      <c r="K35" s="56">
        <v>3</v>
      </c>
      <c r="L35" s="56">
        <v>0.75</v>
      </c>
      <c r="M35" s="83" t="s">
        <v>1011</v>
      </c>
      <c r="N35" s="84"/>
      <c r="O35" s="61">
        <v>40.220999999999997</v>
      </c>
      <c r="P35" s="62">
        <f t="shared" si="0"/>
        <v>90.497</v>
      </c>
    </row>
    <row r="36" spans="2:16" ht="15" customHeight="1" x14ac:dyDescent="0.3">
      <c r="B36" s="56">
        <v>3</v>
      </c>
      <c r="C36" s="53" t="s">
        <v>1075</v>
      </c>
      <c r="D36" s="54" t="s">
        <v>1076</v>
      </c>
      <c r="E36" s="54"/>
      <c r="F36" s="54"/>
      <c r="G36" s="54"/>
      <c r="H36" s="55">
        <v>1390.13</v>
      </c>
      <c r="I36" s="55">
        <v>1404.56</v>
      </c>
      <c r="J36" s="55" t="s">
        <v>993</v>
      </c>
      <c r="K36" s="56">
        <v>3</v>
      </c>
      <c r="L36" s="56">
        <v>0.75</v>
      </c>
      <c r="M36" s="83" t="s">
        <v>1012</v>
      </c>
      <c r="N36" s="84"/>
      <c r="O36" s="61">
        <v>42.5</v>
      </c>
      <c r="P36" s="62">
        <f t="shared" si="0"/>
        <v>95.625</v>
      </c>
    </row>
    <row r="37" spans="2:16" ht="15" customHeight="1" x14ac:dyDescent="0.3">
      <c r="B37" s="56">
        <v>3</v>
      </c>
      <c r="C37" s="53" t="s">
        <v>1075</v>
      </c>
      <c r="D37" s="54" t="s">
        <v>1076</v>
      </c>
      <c r="E37" s="54"/>
      <c r="F37" s="54"/>
      <c r="G37" s="54"/>
      <c r="H37" s="55">
        <v>1390.13</v>
      </c>
      <c r="I37" s="55">
        <v>1404.56</v>
      </c>
      <c r="J37" s="55" t="s">
        <v>993</v>
      </c>
      <c r="K37" s="56">
        <v>3</v>
      </c>
      <c r="L37" s="56">
        <v>0.75</v>
      </c>
      <c r="M37" s="83" t="s">
        <v>1013</v>
      </c>
      <c r="N37" s="86"/>
      <c r="O37" s="61">
        <v>44.921999999999997</v>
      </c>
      <c r="P37" s="62">
        <f t="shared" si="0"/>
        <v>101.075</v>
      </c>
    </row>
    <row r="38" spans="2:16" ht="15" customHeight="1" x14ac:dyDescent="0.3">
      <c r="B38" s="56">
        <v>3</v>
      </c>
      <c r="C38" s="53" t="s">
        <v>1075</v>
      </c>
      <c r="D38" s="54" t="s">
        <v>1076</v>
      </c>
      <c r="E38" s="54"/>
      <c r="F38" s="54"/>
      <c r="G38" s="54"/>
      <c r="H38" s="55">
        <v>1390.13</v>
      </c>
      <c r="I38" s="55">
        <v>1404.56</v>
      </c>
      <c r="J38" s="55" t="s">
        <v>993</v>
      </c>
      <c r="K38" s="56">
        <v>1</v>
      </c>
      <c r="L38" s="56">
        <v>0.93</v>
      </c>
      <c r="M38" s="83" t="s">
        <v>1013</v>
      </c>
      <c r="N38" s="86"/>
      <c r="O38" s="70">
        <v>44.921999999999997</v>
      </c>
      <c r="P38" s="88">
        <f>+ROUND(PRODUCT(K38:O38),3)</f>
        <v>41.777000000000001</v>
      </c>
    </row>
    <row r="39" spans="2:16" ht="15" customHeight="1" x14ac:dyDescent="0.3">
      <c r="B39" s="51" t="s">
        <v>1016</v>
      </c>
      <c r="C39" s="78"/>
      <c r="D39" s="45"/>
      <c r="E39" s="45"/>
      <c r="F39" s="45"/>
      <c r="G39" s="45"/>
      <c r="H39" s="46"/>
      <c r="I39" s="46"/>
      <c r="J39" s="46"/>
      <c r="K39" s="47"/>
      <c r="L39" s="47"/>
      <c r="M39" s="48"/>
      <c r="N39" s="48"/>
      <c r="O39" s="49"/>
      <c r="P39" s="50"/>
    </row>
    <row r="40" spans="2:16" ht="15" customHeight="1" x14ac:dyDescent="0.3">
      <c r="B40" s="93" t="s">
        <v>981</v>
      </c>
      <c r="C40" s="93" t="s">
        <v>991</v>
      </c>
      <c r="D40" s="94" t="s">
        <v>990</v>
      </c>
      <c r="E40" s="94"/>
      <c r="F40" s="94"/>
      <c r="G40" s="94"/>
      <c r="H40" s="93" t="s">
        <v>988</v>
      </c>
      <c r="I40" s="93" t="s">
        <v>987</v>
      </c>
      <c r="J40" s="93" t="s">
        <v>992</v>
      </c>
      <c r="K40" s="93" t="s">
        <v>989</v>
      </c>
      <c r="L40" s="93" t="s">
        <v>985</v>
      </c>
      <c r="M40" s="93" t="s">
        <v>12</v>
      </c>
      <c r="N40" s="93"/>
      <c r="O40" s="95" t="s">
        <v>983</v>
      </c>
      <c r="P40" s="95" t="s">
        <v>14</v>
      </c>
    </row>
    <row r="41" spans="2:16" ht="15" customHeight="1" x14ac:dyDescent="0.3">
      <c r="B41" s="104">
        <v>3</v>
      </c>
      <c r="C41" s="105" t="s">
        <v>1059</v>
      </c>
      <c r="D41" s="106" t="s">
        <v>1060</v>
      </c>
      <c r="E41" s="106"/>
      <c r="F41" s="106"/>
      <c r="G41" s="106"/>
      <c r="H41" s="107">
        <v>1358.63</v>
      </c>
      <c r="I41" s="107">
        <v>1366.13</v>
      </c>
      <c r="J41" s="107" t="s">
        <v>1006</v>
      </c>
      <c r="K41" s="104">
        <v>2</v>
      </c>
      <c r="L41" s="104">
        <v>0.75</v>
      </c>
      <c r="M41" s="116" t="s">
        <v>1024</v>
      </c>
      <c r="N41" s="117"/>
      <c r="O41" s="110">
        <v>1.484</v>
      </c>
      <c r="P41" s="111">
        <f t="shared" ref="P41:P64" si="1">+ROUND(PRODUCT(K41:O41),3)</f>
        <v>2.226</v>
      </c>
    </row>
    <row r="42" spans="2:16" ht="15" customHeight="1" x14ac:dyDescent="0.3">
      <c r="B42" s="56">
        <v>3</v>
      </c>
      <c r="C42" s="53" t="s">
        <v>1059</v>
      </c>
      <c r="D42" s="54" t="s">
        <v>1060</v>
      </c>
      <c r="E42" s="54"/>
      <c r="F42" s="54"/>
      <c r="G42" s="54"/>
      <c r="H42" s="55">
        <v>1358.63</v>
      </c>
      <c r="I42" s="55">
        <v>1366.13</v>
      </c>
      <c r="J42" s="55" t="s">
        <v>1006</v>
      </c>
      <c r="K42" s="56">
        <v>2</v>
      </c>
      <c r="L42" s="56">
        <v>0.75</v>
      </c>
      <c r="M42" s="66" t="s">
        <v>1026</v>
      </c>
      <c r="N42" s="68"/>
      <c r="O42" s="61">
        <v>1.55</v>
      </c>
      <c r="P42" s="62">
        <f t="shared" si="1"/>
        <v>2.3250000000000002</v>
      </c>
    </row>
    <row r="43" spans="2:16" ht="15" customHeight="1" x14ac:dyDescent="0.3">
      <c r="B43" s="56">
        <v>3</v>
      </c>
      <c r="C43" s="53" t="s">
        <v>1059</v>
      </c>
      <c r="D43" s="54" t="s">
        <v>1060</v>
      </c>
      <c r="E43" s="54"/>
      <c r="F43" s="54"/>
      <c r="G43" s="54"/>
      <c r="H43" s="55">
        <v>1358.63</v>
      </c>
      <c r="I43" s="55">
        <v>1366.13</v>
      </c>
      <c r="J43" s="55" t="s">
        <v>1006</v>
      </c>
      <c r="K43" s="56">
        <v>2</v>
      </c>
      <c r="L43" s="56">
        <v>0.75</v>
      </c>
      <c r="M43" s="66" t="s">
        <v>1027</v>
      </c>
      <c r="N43" s="68"/>
      <c r="O43" s="61">
        <v>1.601</v>
      </c>
      <c r="P43" s="62">
        <f t="shared" si="1"/>
        <v>2.4020000000000001</v>
      </c>
    </row>
    <row r="44" spans="2:16" ht="15" customHeight="1" x14ac:dyDescent="0.3">
      <c r="B44" s="56">
        <v>3</v>
      </c>
      <c r="C44" s="53" t="s">
        <v>1059</v>
      </c>
      <c r="D44" s="54" t="s">
        <v>1060</v>
      </c>
      <c r="E44" s="54"/>
      <c r="F44" s="54"/>
      <c r="G44" s="54"/>
      <c r="H44" s="55">
        <v>1358.63</v>
      </c>
      <c r="I44" s="55">
        <v>1366.13</v>
      </c>
      <c r="J44" s="55" t="s">
        <v>1006</v>
      </c>
      <c r="K44" s="56">
        <v>2</v>
      </c>
      <c r="L44" s="56">
        <v>0.75</v>
      </c>
      <c r="M44" s="66" t="s">
        <v>1028</v>
      </c>
      <c r="N44" s="68"/>
      <c r="O44" s="61">
        <v>1.635</v>
      </c>
      <c r="P44" s="62">
        <f t="shared" si="1"/>
        <v>2.4529999999999998</v>
      </c>
    </row>
    <row r="45" spans="2:16" ht="15" customHeight="1" x14ac:dyDescent="0.3">
      <c r="B45" s="56">
        <v>3</v>
      </c>
      <c r="C45" s="53" t="s">
        <v>1059</v>
      </c>
      <c r="D45" s="54" t="s">
        <v>1060</v>
      </c>
      <c r="E45" s="54"/>
      <c r="F45" s="54"/>
      <c r="G45" s="54"/>
      <c r="H45" s="55">
        <v>1358.63</v>
      </c>
      <c r="I45" s="55">
        <v>1366.13</v>
      </c>
      <c r="J45" s="55" t="s">
        <v>1006</v>
      </c>
      <c r="K45" s="56">
        <v>1</v>
      </c>
      <c r="L45" s="56">
        <v>0.75</v>
      </c>
      <c r="M45" s="66" t="s">
        <v>1029</v>
      </c>
      <c r="N45" s="68"/>
      <c r="O45" s="61">
        <v>1.673</v>
      </c>
      <c r="P45" s="62">
        <f t="shared" si="1"/>
        <v>1.2549999999999999</v>
      </c>
    </row>
    <row r="46" spans="2:16" ht="15" customHeight="1" x14ac:dyDescent="0.3">
      <c r="B46" s="118">
        <v>3</v>
      </c>
      <c r="C46" s="119" t="s">
        <v>1059</v>
      </c>
      <c r="D46" s="120" t="s">
        <v>1060</v>
      </c>
      <c r="E46" s="120"/>
      <c r="F46" s="120"/>
      <c r="G46" s="120"/>
      <c r="H46" s="121">
        <v>1358.63</v>
      </c>
      <c r="I46" s="121">
        <v>1366.13</v>
      </c>
      <c r="J46" s="121" t="s">
        <v>1006</v>
      </c>
      <c r="K46" s="118">
        <v>1</v>
      </c>
      <c r="L46" s="118">
        <v>0.75</v>
      </c>
      <c r="M46" s="122" t="s">
        <v>1025</v>
      </c>
      <c r="N46" s="123"/>
      <c r="O46" s="124">
        <v>1.72</v>
      </c>
      <c r="P46" s="125">
        <f t="shared" si="1"/>
        <v>1.29</v>
      </c>
    </row>
    <row r="47" spans="2:16" ht="15" customHeight="1" x14ac:dyDescent="0.3">
      <c r="B47" s="104">
        <v>3</v>
      </c>
      <c r="C47" s="105" t="s">
        <v>1063</v>
      </c>
      <c r="D47" s="106" t="s">
        <v>1064</v>
      </c>
      <c r="E47" s="106"/>
      <c r="F47" s="106"/>
      <c r="G47" s="106"/>
      <c r="H47" s="107">
        <v>1366.13</v>
      </c>
      <c r="I47" s="107">
        <v>1384.88</v>
      </c>
      <c r="J47" s="107" t="s">
        <v>1006</v>
      </c>
      <c r="K47" s="104">
        <v>4</v>
      </c>
      <c r="L47" s="104">
        <v>0.75</v>
      </c>
      <c r="M47" s="116" t="s">
        <v>1024</v>
      </c>
      <c r="N47" s="117"/>
      <c r="O47" s="110">
        <v>1.484</v>
      </c>
      <c r="P47" s="111">
        <f t="shared" si="1"/>
        <v>4.452</v>
      </c>
    </row>
    <row r="48" spans="2:16" ht="15" customHeight="1" x14ac:dyDescent="0.3">
      <c r="B48" s="56">
        <v>3</v>
      </c>
      <c r="C48" s="53" t="s">
        <v>1063</v>
      </c>
      <c r="D48" s="54" t="s">
        <v>1064</v>
      </c>
      <c r="E48" s="54"/>
      <c r="F48" s="54"/>
      <c r="G48" s="54"/>
      <c r="H48" s="55">
        <v>1366.13</v>
      </c>
      <c r="I48" s="55">
        <v>1384.88</v>
      </c>
      <c r="J48" s="55" t="s">
        <v>1006</v>
      </c>
      <c r="K48" s="56">
        <v>4</v>
      </c>
      <c r="L48" s="56">
        <v>0.75</v>
      </c>
      <c r="M48" s="66" t="s">
        <v>1026</v>
      </c>
      <c r="N48" s="68"/>
      <c r="O48" s="61">
        <v>1.55</v>
      </c>
      <c r="P48" s="62">
        <f t="shared" si="1"/>
        <v>4.6500000000000004</v>
      </c>
    </row>
    <row r="49" spans="2:16" ht="15" customHeight="1" x14ac:dyDescent="0.3">
      <c r="B49" s="56">
        <v>3</v>
      </c>
      <c r="C49" s="53" t="s">
        <v>1063</v>
      </c>
      <c r="D49" s="54" t="s">
        <v>1064</v>
      </c>
      <c r="E49" s="54"/>
      <c r="F49" s="54"/>
      <c r="G49" s="54"/>
      <c r="H49" s="55">
        <v>1366.13</v>
      </c>
      <c r="I49" s="55">
        <v>1384.88</v>
      </c>
      <c r="J49" s="55" t="s">
        <v>1006</v>
      </c>
      <c r="K49" s="56">
        <v>4</v>
      </c>
      <c r="L49" s="56">
        <v>0.75</v>
      </c>
      <c r="M49" s="66" t="s">
        <v>1027</v>
      </c>
      <c r="N49" s="68"/>
      <c r="O49" s="61">
        <v>1.601</v>
      </c>
      <c r="P49" s="62">
        <f t="shared" si="1"/>
        <v>4.8029999999999999</v>
      </c>
    </row>
    <row r="50" spans="2:16" ht="15" customHeight="1" x14ac:dyDescent="0.3">
      <c r="B50" s="56">
        <v>3</v>
      </c>
      <c r="C50" s="53" t="s">
        <v>1063</v>
      </c>
      <c r="D50" s="54" t="s">
        <v>1064</v>
      </c>
      <c r="E50" s="54"/>
      <c r="F50" s="54"/>
      <c r="G50" s="54"/>
      <c r="H50" s="55">
        <v>1366.13</v>
      </c>
      <c r="I50" s="55">
        <v>1384.88</v>
      </c>
      <c r="J50" s="55" t="s">
        <v>1006</v>
      </c>
      <c r="K50" s="56">
        <v>4</v>
      </c>
      <c r="L50" s="56">
        <v>0.75</v>
      </c>
      <c r="M50" s="66" t="s">
        <v>1028</v>
      </c>
      <c r="N50" s="68"/>
      <c r="O50" s="61">
        <v>1.635</v>
      </c>
      <c r="P50" s="62">
        <f t="shared" si="1"/>
        <v>4.9050000000000002</v>
      </c>
    </row>
    <row r="51" spans="2:16" ht="15" customHeight="1" x14ac:dyDescent="0.3">
      <c r="B51" s="56">
        <v>3</v>
      </c>
      <c r="C51" s="53" t="s">
        <v>1063</v>
      </c>
      <c r="D51" s="54" t="s">
        <v>1064</v>
      </c>
      <c r="E51" s="54"/>
      <c r="F51" s="54"/>
      <c r="G51" s="54"/>
      <c r="H51" s="55">
        <v>1366.13</v>
      </c>
      <c r="I51" s="55">
        <v>1384.88</v>
      </c>
      <c r="J51" s="55" t="s">
        <v>1006</v>
      </c>
      <c r="K51" s="56">
        <v>5</v>
      </c>
      <c r="L51" s="56">
        <v>0.75</v>
      </c>
      <c r="M51" s="66" t="s">
        <v>1029</v>
      </c>
      <c r="N51" s="68"/>
      <c r="O51" s="61">
        <v>1.673</v>
      </c>
      <c r="P51" s="62">
        <f t="shared" si="1"/>
        <v>6.274</v>
      </c>
    </row>
    <row r="52" spans="2:16" ht="15" customHeight="1" x14ac:dyDescent="0.3">
      <c r="B52" s="118">
        <v>3</v>
      </c>
      <c r="C52" s="119" t="s">
        <v>1063</v>
      </c>
      <c r="D52" s="120" t="s">
        <v>1064</v>
      </c>
      <c r="E52" s="120"/>
      <c r="F52" s="120"/>
      <c r="G52" s="120"/>
      <c r="H52" s="121">
        <v>1366.13</v>
      </c>
      <c r="I52" s="121">
        <v>1384.88</v>
      </c>
      <c r="J52" s="121" t="s">
        <v>1006</v>
      </c>
      <c r="K52" s="118">
        <v>4</v>
      </c>
      <c r="L52" s="118">
        <v>0.75</v>
      </c>
      <c r="M52" s="122" t="s">
        <v>1025</v>
      </c>
      <c r="N52" s="123"/>
      <c r="O52" s="124">
        <v>1.72</v>
      </c>
      <c r="P52" s="125">
        <f t="shared" si="1"/>
        <v>5.16</v>
      </c>
    </row>
    <row r="53" spans="2:16" ht="15" customHeight="1" x14ac:dyDescent="0.3">
      <c r="B53" s="104">
        <v>3</v>
      </c>
      <c r="C53" s="105" t="s">
        <v>1075</v>
      </c>
      <c r="D53" s="106" t="s">
        <v>1076</v>
      </c>
      <c r="E53" s="106"/>
      <c r="F53" s="106"/>
      <c r="G53" s="106"/>
      <c r="H53" s="107">
        <v>1384.88</v>
      </c>
      <c r="I53" s="107">
        <v>1398.38</v>
      </c>
      <c r="J53" s="107" t="s">
        <v>1006</v>
      </c>
      <c r="K53" s="104">
        <v>3</v>
      </c>
      <c r="L53" s="104">
        <v>0.75</v>
      </c>
      <c r="M53" s="116" t="s">
        <v>1024</v>
      </c>
      <c r="N53" s="117"/>
      <c r="O53" s="110">
        <v>1.484</v>
      </c>
      <c r="P53" s="111">
        <f t="shared" si="1"/>
        <v>3.339</v>
      </c>
    </row>
    <row r="54" spans="2:16" ht="15" customHeight="1" x14ac:dyDescent="0.3">
      <c r="B54" s="56">
        <v>3</v>
      </c>
      <c r="C54" s="53" t="s">
        <v>1075</v>
      </c>
      <c r="D54" s="54" t="s">
        <v>1076</v>
      </c>
      <c r="E54" s="54"/>
      <c r="F54" s="54"/>
      <c r="G54" s="54"/>
      <c r="H54" s="55">
        <v>1384.88</v>
      </c>
      <c r="I54" s="55">
        <v>1398.38</v>
      </c>
      <c r="J54" s="55" t="s">
        <v>1006</v>
      </c>
      <c r="K54" s="56">
        <v>3</v>
      </c>
      <c r="L54" s="56">
        <v>0.75</v>
      </c>
      <c r="M54" s="66" t="s">
        <v>1026</v>
      </c>
      <c r="N54" s="68"/>
      <c r="O54" s="61">
        <v>1.55</v>
      </c>
      <c r="P54" s="62">
        <f t="shared" si="1"/>
        <v>3.488</v>
      </c>
    </row>
    <row r="55" spans="2:16" ht="15" customHeight="1" x14ac:dyDescent="0.3">
      <c r="B55" s="56">
        <v>3</v>
      </c>
      <c r="C55" s="53" t="s">
        <v>1075</v>
      </c>
      <c r="D55" s="54" t="s">
        <v>1076</v>
      </c>
      <c r="E55" s="54"/>
      <c r="F55" s="54"/>
      <c r="G55" s="54"/>
      <c r="H55" s="55">
        <v>1384.88</v>
      </c>
      <c r="I55" s="55">
        <v>1398.38</v>
      </c>
      <c r="J55" s="55" t="s">
        <v>1006</v>
      </c>
      <c r="K55" s="56">
        <v>3</v>
      </c>
      <c r="L55" s="56">
        <v>0.75</v>
      </c>
      <c r="M55" s="66" t="s">
        <v>1027</v>
      </c>
      <c r="N55" s="68"/>
      <c r="O55" s="61">
        <v>1.601</v>
      </c>
      <c r="P55" s="62">
        <f t="shared" si="1"/>
        <v>3.6019999999999999</v>
      </c>
    </row>
    <row r="56" spans="2:16" ht="15" customHeight="1" x14ac:dyDescent="0.3">
      <c r="B56" s="56">
        <v>3</v>
      </c>
      <c r="C56" s="53" t="s">
        <v>1075</v>
      </c>
      <c r="D56" s="54" t="s">
        <v>1076</v>
      </c>
      <c r="E56" s="54"/>
      <c r="F56" s="54"/>
      <c r="G56" s="54"/>
      <c r="H56" s="55">
        <v>1384.88</v>
      </c>
      <c r="I56" s="55">
        <v>1398.38</v>
      </c>
      <c r="J56" s="55" t="s">
        <v>1006</v>
      </c>
      <c r="K56" s="56">
        <v>3</v>
      </c>
      <c r="L56" s="56">
        <v>0.75</v>
      </c>
      <c r="M56" s="66" t="s">
        <v>1028</v>
      </c>
      <c r="N56" s="68"/>
      <c r="O56" s="61">
        <v>1.635</v>
      </c>
      <c r="P56" s="62">
        <f t="shared" si="1"/>
        <v>3.6789999999999998</v>
      </c>
    </row>
    <row r="57" spans="2:16" ht="15" customHeight="1" x14ac:dyDescent="0.3">
      <c r="B57" s="56">
        <v>3</v>
      </c>
      <c r="C57" s="53" t="s">
        <v>1075</v>
      </c>
      <c r="D57" s="54" t="s">
        <v>1076</v>
      </c>
      <c r="E57" s="54"/>
      <c r="F57" s="54"/>
      <c r="G57" s="54"/>
      <c r="H57" s="55">
        <v>1384.88</v>
      </c>
      <c r="I57" s="55">
        <v>1398.38</v>
      </c>
      <c r="J57" s="55" t="s">
        <v>1006</v>
      </c>
      <c r="K57" s="56">
        <v>3</v>
      </c>
      <c r="L57" s="56">
        <v>0.75</v>
      </c>
      <c r="M57" s="66" t="s">
        <v>1029</v>
      </c>
      <c r="N57" s="68"/>
      <c r="O57" s="61">
        <v>1.673</v>
      </c>
      <c r="P57" s="62">
        <f t="shared" si="1"/>
        <v>3.7639999999999998</v>
      </c>
    </row>
    <row r="58" spans="2:16" ht="15" customHeight="1" x14ac:dyDescent="0.3">
      <c r="B58" s="118">
        <v>3</v>
      </c>
      <c r="C58" s="119" t="s">
        <v>1075</v>
      </c>
      <c r="D58" s="120" t="s">
        <v>1076</v>
      </c>
      <c r="E58" s="120"/>
      <c r="F58" s="120"/>
      <c r="G58" s="120"/>
      <c r="H58" s="121">
        <v>1384.88</v>
      </c>
      <c r="I58" s="121">
        <v>1398.38</v>
      </c>
      <c r="J58" s="121" t="s">
        <v>1006</v>
      </c>
      <c r="K58" s="118">
        <v>3</v>
      </c>
      <c r="L58" s="118">
        <v>0.75</v>
      </c>
      <c r="M58" s="122" t="s">
        <v>1025</v>
      </c>
      <c r="N58" s="123"/>
      <c r="O58" s="124">
        <v>1.72</v>
      </c>
      <c r="P58" s="125">
        <f t="shared" si="1"/>
        <v>3.87</v>
      </c>
    </row>
    <row r="59" spans="2:16" ht="15" customHeight="1" x14ac:dyDescent="0.3">
      <c r="B59" s="96">
        <v>4</v>
      </c>
      <c r="C59" s="97" t="s">
        <v>1081</v>
      </c>
      <c r="D59" s="98" t="s">
        <v>1082</v>
      </c>
      <c r="E59" s="98"/>
      <c r="F59" s="98"/>
      <c r="G59" s="98"/>
      <c r="H59" s="99">
        <v>1398.38</v>
      </c>
      <c r="I59" s="99">
        <v>1404.56</v>
      </c>
      <c r="J59" s="99" t="s">
        <v>1006</v>
      </c>
      <c r="K59" s="96">
        <v>1</v>
      </c>
      <c r="L59" s="96">
        <v>0.75</v>
      </c>
      <c r="M59" s="114" t="s">
        <v>1024</v>
      </c>
      <c r="N59" s="115"/>
      <c r="O59" s="102">
        <v>1.484</v>
      </c>
      <c r="P59" s="103">
        <f t="shared" si="1"/>
        <v>1.113</v>
      </c>
    </row>
    <row r="60" spans="2:16" ht="15" customHeight="1" x14ac:dyDescent="0.3">
      <c r="B60" s="56">
        <v>4</v>
      </c>
      <c r="C60" s="53" t="s">
        <v>1081</v>
      </c>
      <c r="D60" s="54" t="s">
        <v>1082</v>
      </c>
      <c r="E60" s="54"/>
      <c r="F60" s="54"/>
      <c r="G60" s="54"/>
      <c r="H60" s="55">
        <v>1398.38</v>
      </c>
      <c r="I60" s="55">
        <v>1404.56</v>
      </c>
      <c r="J60" s="55" t="s">
        <v>1006</v>
      </c>
      <c r="K60" s="56">
        <v>1</v>
      </c>
      <c r="L60" s="56">
        <v>0.75</v>
      </c>
      <c r="M60" s="66" t="s">
        <v>1026</v>
      </c>
      <c r="N60" s="68"/>
      <c r="O60" s="61">
        <v>1.55</v>
      </c>
      <c r="P60" s="62">
        <f t="shared" si="1"/>
        <v>1.163</v>
      </c>
    </row>
    <row r="61" spans="2:16" ht="15" customHeight="1" x14ac:dyDescent="0.3">
      <c r="B61" s="56">
        <v>4</v>
      </c>
      <c r="C61" s="53" t="s">
        <v>1081</v>
      </c>
      <c r="D61" s="54" t="s">
        <v>1082</v>
      </c>
      <c r="E61" s="54"/>
      <c r="F61" s="54"/>
      <c r="G61" s="54"/>
      <c r="H61" s="55">
        <v>1398.38</v>
      </c>
      <c r="I61" s="55">
        <v>1404.56</v>
      </c>
      <c r="J61" s="55" t="s">
        <v>1006</v>
      </c>
      <c r="K61" s="56">
        <v>1</v>
      </c>
      <c r="L61" s="56">
        <v>0.75</v>
      </c>
      <c r="M61" s="66" t="s">
        <v>1027</v>
      </c>
      <c r="N61" s="68"/>
      <c r="O61" s="61">
        <v>1.601</v>
      </c>
      <c r="P61" s="62">
        <f t="shared" si="1"/>
        <v>1.2010000000000001</v>
      </c>
    </row>
    <row r="62" spans="2:16" ht="15" customHeight="1" x14ac:dyDescent="0.3">
      <c r="B62" s="56">
        <v>4</v>
      </c>
      <c r="C62" s="53" t="s">
        <v>1081</v>
      </c>
      <c r="D62" s="54" t="s">
        <v>1082</v>
      </c>
      <c r="E62" s="54"/>
      <c r="F62" s="54"/>
      <c r="G62" s="54"/>
      <c r="H62" s="55">
        <v>1398.38</v>
      </c>
      <c r="I62" s="55">
        <v>1404.56</v>
      </c>
      <c r="J62" s="55" t="s">
        <v>1006</v>
      </c>
      <c r="K62" s="56">
        <v>1</v>
      </c>
      <c r="L62" s="56">
        <v>0.75</v>
      </c>
      <c r="M62" s="66" t="s">
        <v>1028</v>
      </c>
      <c r="N62" s="68"/>
      <c r="O62" s="61">
        <v>1.635</v>
      </c>
      <c r="P62" s="62">
        <f t="shared" si="1"/>
        <v>1.226</v>
      </c>
    </row>
    <row r="63" spans="2:16" ht="15" customHeight="1" x14ac:dyDescent="0.3">
      <c r="B63" s="56">
        <v>4</v>
      </c>
      <c r="C63" s="53" t="s">
        <v>1081</v>
      </c>
      <c r="D63" s="54" t="s">
        <v>1082</v>
      </c>
      <c r="E63" s="54"/>
      <c r="F63" s="54"/>
      <c r="G63" s="54"/>
      <c r="H63" s="55">
        <v>1398.38</v>
      </c>
      <c r="I63" s="55">
        <v>1404.56</v>
      </c>
      <c r="J63" s="55" t="s">
        <v>1006</v>
      </c>
      <c r="K63" s="56">
        <v>1</v>
      </c>
      <c r="L63" s="56">
        <v>0.75</v>
      </c>
      <c r="M63" s="66" t="s">
        <v>1029</v>
      </c>
      <c r="N63" s="68"/>
      <c r="O63" s="61">
        <v>1.673</v>
      </c>
      <c r="P63" s="62">
        <f t="shared" si="1"/>
        <v>1.2549999999999999</v>
      </c>
    </row>
    <row r="64" spans="2:16" ht="15" customHeight="1" x14ac:dyDescent="0.3">
      <c r="B64" s="56">
        <v>4</v>
      </c>
      <c r="C64" s="53" t="s">
        <v>1081</v>
      </c>
      <c r="D64" s="54" t="s">
        <v>1082</v>
      </c>
      <c r="E64" s="54"/>
      <c r="F64" s="54"/>
      <c r="G64" s="54"/>
      <c r="H64" s="55">
        <v>1398.38</v>
      </c>
      <c r="I64" s="55">
        <v>1404.56</v>
      </c>
      <c r="J64" s="55" t="s">
        <v>1006</v>
      </c>
      <c r="K64" s="56">
        <v>2</v>
      </c>
      <c r="L64" s="56">
        <v>0.75</v>
      </c>
      <c r="M64" s="66" t="s">
        <v>1025</v>
      </c>
      <c r="N64" s="90"/>
      <c r="O64" s="61">
        <v>1.72</v>
      </c>
      <c r="P64" s="88">
        <f t="shared" si="1"/>
        <v>2.58</v>
      </c>
    </row>
    <row r="65" spans="2:16" ht="15" customHeight="1" x14ac:dyDescent="0.3">
      <c r="B65" s="56">
        <v>4</v>
      </c>
      <c r="C65" s="53" t="s">
        <v>1081</v>
      </c>
      <c r="D65" s="54" t="s">
        <v>1082</v>
      </c>
      <c r="E65" s="54"/>
      <c r="F65" s="54"/>
      <c r="G65" s="54"/>
      <c r="H65" s="55">
        <v>1398.38</v>
      </c>
      <c r="I65" s="55">
        <v>1404.56</v>
      </c>
      <c r="J65" s="55" t="s">
        <v>1006</v>
      </c>
      <c r="K65" s="56">
        <v>1</v>
      </c>
      <c r="L65" s="56">
        <v>0.93</v>
      </c>
      <c r="M65" s="66" t="s">
        <v>1025</v>
      </c>
      <c r="N65" s="90"/>
      <c r="O65" s="70">
        <v>1.72</v>
      </c>
      <c r="P65" s="88">
        <f t="shared" ref="P65" si="2">+ROUND(PRODUCT(K65:O65),3)</f>
        <v>1.6</v>
      </c>
    </row>
    <row r="66" spans="2:16" ht="15" customHeight="1" x14ac:dyDescent="0.3">
      <c r="B66" s="51" t="s">
        <v>1005</v>
      </c>
      <c r="C66" s="78"/>
      <c r="D66" s="45"/>
      <c r="E66" s="45"/>
      <c r="F66" s="45"/>
      <c r="G66" s="45"/>
      <c r="H66" s="46"/>
      <c r="I66" s="46"/>
      <c r="J66" s="46"/>
      <c r="K66" s="47"/>
      <c r="L66" s="47"/>
      <c r="M66" s="48"/>
      <c r="N66" s="48"/>
      <c r="O66" s="49"/>
      <c r="P66" s="50"/>
    </row>
    <row r="67" spans="2:16" ht="15" customHeight="1" x14ac:dyDescent="0.3">
      <c r="B67" s="93" t="s">
        <v>981</v>
      </c>
      <c r="C67" s="93" t="s">
        <v>991</v>
      </c>
      <c r="D67" s="94" t="s">
        <v>997</v>
      </c>
      <c r="E67" s="94"/>
      <c r="F67" s="94"/>
      <c r="G67" s="94"/>
      <c r="H67" s="126"/>
      <c r="I67" s="93" t="s">
        <v>998</v>
      </c>
      <c r="J67" s="93" t="s">
        <v>992</v>
      </c>
      <c r="K67" s="93" t="s">
        <v>989</v>
      </c>
      <c r="L67" s="93" t="s">
        <v>984</v>
      </c>
      <c r="M67" s="95" t="s">
        <v>985</v>
      </c>
      <c r="N67" s="93" t="s">
        <v>986</v>
      </c>
      <c r="O67" s="95" t="s">
        <v>983</v>
      </c>
      <c r="P67" s="95" t="s">
        <v>14</v>
      </c>
    </row>
    <row r="68" spans="2:16" ht="15" customHeight="1" x14ac:dyDescent="0.3">
      <c r="B68" s="104">
        <v>3</v>
      </c>
      <c r="C68" s="105" t="s">
        <v>1059</v>
      </c>
      <c r="D68" s="106" t="s">
        <v>996</v>
      </c>
      <c r="E68" s="106"/>
      <c r="F68" s="106"/>
      <c r="G68" s="106"/>
      <c r="H68" s="130"/>
      <c r="I68" s="131">
        <v>5</v>
      </c>
      <c r="J68" s="107" t="s">
        <v>993</v>
      </c>
      <c r="K68" s="104">
        <v>3</v>
      </c>
      <c r="L68" s="104"/>
      <c r="M68" s="132">
        <f t="shared" ref="M68:M74" si="3">+I68/100</f>
        <v>0.05</v>
      </c>
      <c r="N68" s="132"/>
      <c r="O68" s="110">
        <v>33.408000000000001</v>
      </c>
      <c r="P68" s="111">
        <f t="shared" ref="P68:P74" si="4">+ROUND(PRODUCT(K68:O68),3)</f>
        <v>5.0110000000000001</v>
      </c>
    </row>
    <row r="69" spans="2:16" ht="15" customHeight="1" x14ac:dyDescent="0.3">
      <c r="B69" s="56">
        <v>3</v>
      </c>
      <c r="C69" s="53" t="s">
        <v>1059</v>
      </c>
      <c r="D69" s="54" t="s">
        <v>999</v>
      </c>
      <c r="E69" s="54"/>
      <c r="F69" s="54"/>
      <c r="G69" s="54"/>
      <c r="H69" s="59"/>
      <c r="I69" s="58">
        <v>5</v>
      </c>
      <c r="J69" s="55" t="s">
        <v>993</v>
      </c>
      <c r="K69" s="56">
        <v>3</v>
      </c>
      <c r="L69" s="56"/>
      <c r="M69" s="57">
        <f t="shared" si="3"/>
        <v>0.05</v>
      </c>
      <c r="N69" s="57"/>
      <c r="O69" s="61">
        <v>35.640999999999998</v>
      </c>
      <c r="P69" s="62">
        <f t="shared" si="4"/>
        <v>5.3460000000000001</v>
      </c>
    </row>
    <row r="70" spans="2:16" ht="15" customHeight="1" x14ac:dyDescent="0.3">
      <c r="B70" s="56">
        <v>3</v>
      </c>
      <c r="C70" s="53" t="s">
        <v>1059</v>
      </c>
      <c r="D70" s="54" t="s">
        <v>1000</v>
      </c>
      <c r="E70" s="54"/>
      <c r="F70" s="54"/>
      <c r="G70" s="54"/>
      <c r="H70" s="59"/>
      <c r="I70" s="58">
        <v>5</v>
      </c>
      <c r="J70" s="55" t="s">
        <v>993</v>
      </c>
      <c r="K70" s="56">
        <v>3</v>
      </c>
      <c r="L70" s="56"/>
      <c r="M70" s="57">
        <f t="shared" si="3"/>
        <v>0.05</v>
      </c>
      <c r="N70" s="57"/>
      <c r="O70" s="61">
        <v>37.960999999999999</v>
      </c>
      <c r="P70" s="62">
        <f t="shared" si="4"/>
        <v>5.694</v>
      </c>
    </row>
    <row r="71" spans="2:16" ht="15" customHeight="1" x14ac:dyDescent="0.3">
      <c r="B71" s="56">
        <v>3</v>
      </c>
      <c r="C71" s="53" t="s">
        <v>1059</v>
      </c>
      <c r="D71" s="54" t="s">
        <v>1001</v>
      </c>
      <c r="E71" s="54"/>
      <c r="F71" s="54"/>
      <c r="G71" s="54"/>
      <c r="H71" s="59"/>
      <c r="I71" s="58">
        <v>10</v>
      </c>
      <c r="J71" s="55" t="s">
        <v>993</v>
      </c>
      <c r="K71" s="56">
        <v>3</v>
      </c>
      <c r="L71" s="56"/>
      <c r="M71" s="57">
        <f t="shared" si="3"/>
        <v>0.1</v>
      </c>
      <c r="N71" s="57"/>
      <c r="O71" s="61">
        <v>10</v>
      </c>
      <c r="P71" s="62">
        <f t="shared" si="4"/>
        <v>3</v>
      </c>
    </row>
    <row r="72" spans="2:16" ht="15" customHeight="1" x14ac:dyDescent="0.3">
      <c r="B72" s="56">
        <v>3</v>
      </c>
      <c r="C72" s="53" t="s">
        <v>1059</v>
      </c>
      <c r="D72" s="54" t="s">
        <v>1002</v>
      </c>
      <c r="E72" s="54"/>
      <c r="F72" s="54"/>
      <c r="G72" s="54"/>
      <c r="H72" s="59"/>
      <c r="I72" s="58">
        <v>5</v>
      </c>
      <c r="J72" s="55" t="s">
        <v>993</v>
      </c>
      <c r="K72" s="56">
        <v>3</v>
      </c>
      <c r="L72" s="56"/>
      <c r="M72" s="57">
        <f t="shared" si="3"/>
        <v>0.05</v>
      </c>
      <c r="N72" s="57"/>
      <c r="O72" s="61">
        <v>40.220999999999997</v>
      </c>
      <c r="P72" s="62">
        <f t="shared" si="4"/>
        <v>6.0330000000000004</v>
      </c>
    </row>
    <row r="73" spans="2:16" ht="15" customHeight="1" x14ac:dyDescent="0.3">
      <c r="B73" s="56">
        <v>3</v>
      </c>
      <c r="C73" s="53" t="s">
        <v>1059</v>
      </c>
      <c r="D73" s="54" t="s">
        <v>1003</v>
      </c>
      <c r="E73" s="54"/>
      <c r="F73" s="54"/>
      <c r="G73" s="54"/>
      <c r="H73" s="59"/>
      <c r="I73" s="58">
        <v>5</v>
      </c>
      <c r="J73" s="55" t="s">
        <v>993</v>
      </c>
      <c r="K73" s="56">
        <v>3</v>
      </c>
      <c r="L73" s="56"/>
      <c r="M73" s="57">
        <f t="shared" si="3"/>
        <v>0.05</v>
      </c>
      <c r="N73" s="57"/>
      <c r="O73" s="61">
        <v>42.5</v>
      </c>
      <c r="P73" s="62">
        <f t="shared" si="4"/>
        <v>6.375</v>
      </c>
    </row>
    <row r="74" spans="2:16" ht="15" customHeight="1" x14ac:dyDescent="0.3">
      <c r="B74" s="118">
        <v>3</v>
      </c>
      <c r="C74" s="119" t="s">
        <v>1059</v>
      </c>
      <c r="D74" s="120" t="s">
        <v>1004</v>
      </c>
      <c r="E74" s="120"/>
      <c r="F74" s="120"/>
      <c r="G74" s="120"/>
      <c r="H74" s="133"/>
      <c r="I74" s="134">
        <v>15</v>
      </c>
      <c r="J74" s="121" t="s">
        <v>993</v>
      </c>
      <c r="K74" s="118">
        <v>3</v>
      </c>
      <c r="L74" s="118"/>
      <c r="M74" s="135">
        <f t="shared" si="3"/>
        <v>0.15</v>
      </c>
      <c r="N74" s="135"/>
      <c r="O74" s="124">
        <v>44.921999999999997</v>
      </c>
      <c r="P74" s="125">
        <f t="shared" si="4"/>
        <v>20.215</v>
      </c>
    </row>
    <row r="75" spans="2:16" ht="15" customHeight="1" x14ac:dyDescent="0.3">
      <c r="B75" s="104">
        <v>3</v>
      </c>
      <c r="C75" s="105" t="s">
        <v>1063</v>
      </c>
      <c r="D75" s="106" t="s">
        <v>996</v>
      </c>
      <c r="E75" s="106"/>
      <c r="F75" s="106"/>
      <c r="G75" s="106"/>
      <c r="H75" s="130"/>
      <c r="I75" s="131">
        <v>5</v>
      </c>
      <c r="J75" s="107" t="s">
        <v>993</v>
      </c>
      <c r="K75" s="104">
        <v>4</v>
      </c>
      <c r="L75" s="104"/>
      <c r="M75" s="132">
        <f t="shared" ref="M75:M85" si="5">+I75/100</f>
        <v>0.05</v>
      </c>
      <c r="N75" s="132"/>
      <c r="O75" s="110">
        <v>33.408000000000001</v>
      </c>
      <c r="P75" s="111">
        <f t="shared" ref="P75:P85" si="6">+ROUND(PRODUCT(K75:O75),3)</f>
        <v>6.6820000000000004</v>
      </c>
    </row>
    <row r="76" spans="2:16" ht="15" customHeight="1" x14ac:dyDescent="0.3">
      <c r="B76" s="56">
        <v>3</v>
      </c>
      <c r="C76" s="53" t="s">
        <v>1063</v>
      </c>
      <c r="D76" s="54" t="s">
        <v>999</v>
      </c>
      <c r="E76" s="54"/>
      <c r="F76" s="54"/>
      <c r="G76" s="54"/>
      <c r="H76" s="59"/>
      <c r="I76" s="58">
        <v>5</v>
      </c>
      <c r="J76" s="55" t="s">
        <v>993</v>
      </c>
      <c r="K76" s="56">
        <v>4</v>
      </c>
      <c r="L76" s="56"/>
      <c r="M76" s="57">
        <f t="shared" si="5"/>
        <v>0.05</v>
      </c>
      <c r="N76" s="57"/>
      <c r="O76" s="61">
        <v>35.640999999999998</v>
      </c>
      <c r="P76" s="62">
        <f t="shared" si="6"/>
        <v>7.1280000000000001</v>
      </c>
    </row>
    <row r="77" spans="2:16" ht="15" customHeight="1" x14ac:dyDescent="0.3">
      <c r="B77" s="56">
        <v>3</v>
      </c>
      <c r="C77" s="53" t="s">
        <v>1063</v>
      </c>
      <c r="D77" s="54" t="s">
        <v>1073</v>
      </c>
      <c r="E77" s="54"/>
      <c r="F77" s="54"/>
      <c r="G77" s="54"/>
      <c r="H77" s="59"/>
      <c r="I77" s="58">
        <v>10</v>
      </c>
      <c r="J77" s="55" t="s">
        <v>993</v>
      </c>
      <c r="K77" s="56">
        <v>1</v>
      </c>
      <c r="L77" s="56"/>
      <c r="M77" s="57">
        <f t="shared" si="5"/>
        <v>0.1</v>
      </c>
      <c r="N77" s="57"/>
      <c r="O77" s="61">
        <v>8</v>
      </c>
      <c r="P77" s="62">
        <f t="shared" si="6"/>
        <v>0.8</v>
      </c>
    </row>
    <row r="78" spans="2:16" ht="15" customHeight="1" x14ac:dyDescent="0.3">
      <c r="B78" s="56">
        <v>3</v>
      </c>
      <c r="C78" s="53" t="s">
        <v>1063</v>
      </c>
      <c r="D78" s="54" t="s">
        <v>1065</v>
      </c>
      <c r="E78" s="54"/>
      <c r="F78" s="54"/>
      <c r="G78" s="54"/>
      <c r="H78" s="59"/>
      <c r="I78" s="58">
        <v>10</v>
      </c>
      <c r="J78" s="55" t="s">
        <v>993</v>
      </c>
      <c r="K78" s="56">
        <v>1</v>
      </c>
      <c r="L78" s="56"/>
      <c r="M78" s="57">
        <f t="shared" ref="M78" si="7">+I78/100</f>
        <v>0.1</v>
      </c>
      <c r="N78" s="57"/>
      <c r="O78" s="61">
        <v>10</v>
      </c>
      <c r="P78" s="62">
        <f t="shared" ref="P78" si="8">+ROUND(PRODUCT(K78:O78),3)</f>
        <v>1</v>
      </c>
    </row>
    <row r="79" spans="2:16" ht="15" customHeight="1" x14ac:dyDescent="0.3">
      <c r="B79" s="56">
        <v>3</v>
      </c>
      <c r="C79" s="53" t="s">
        <v>1063</v>
      </c>
      <c r="D79" s="54" t="s">
        <v>1000</v>
      </c>
      <c r="E79" s="54"/>
      <c r="F79" s="54"/>
      <c r="G79" s="54"/>
      <c r="H79" s="59"/>
      <c r="I79" s="58">
        <v>5</v>
      </c>
      <c r="J79" s="55" t="s">
        <v>993</v>
      </c>
      <c r="K79" s="56">
        <v>4</v>
      </c>
      <c r="L79" s="56"/>
      <c r="M79" s="57">
        <f t="shared" si="5"/>
        <v>0.05</v>
      </c>
      <c r="N79" s="57"/>
      <c r="O79" s="61">
        <v>37.960999999999999</v>
      </c>
      <c r="P79" s="62">
        <f t="shared" si="6"/>
        <v>7.5919999999999996</v>
      </c>
    </row>
    <row r="80" spans="2:16" ht="15" customHeight="1" x14ac:dyDescent="0.3">
      <c r="B80" s="56">
        <v>3</v>
      </c>
      <c r="C80" s="53" t="s">
        <v>1063</v>
      </c>
      <c r="D80" s="54" t="s">
        <v>1001</v>
      </c>
      <c r="E80" s="54"/>
      <c r="F80" s="54"/>
      <c r="G80" s="54"/>
      <c r="H80" s="59"/>
      <c r="I80" s="58">
        <v>10</v>
      </c>
      <c r="J80" s="55" t="s">
        <v>993</v>
      </c>
      <c r="K80" s="56">
        <v>1</v>
      </c>
      <c r="L80" s="56"/>
      <c r="M80" s="57">
        <f t="shared" si="5"/>
        <v>0.1</v>
      </c>
      <c r="N80" s="57"/>
      <c r="O80" s="61">
        <v>10</v>
      </c>
      <c r="P80" s="62">
        <f t="shared" si="6"/>
        <v>1</v>
      </c>
    </row>
    <row r="81" spans="2:16" ht="15" customHeight="1" x14ac:dyDescent="0.3">
      <c r="B81" s="56">
        <v>3</v>
      </c>
      <c r="C81" s="53" t="s">
        <v>1063</v>
      </c>
      <c r="D81" s="54" t="s">
        <v>1002</v>
      </c>
      <c r="E81" s="54"/>
      <c r="F81" s="54"/>
      <c r="G81" s="54"/>
      <c r="H81" s="59"/>
      <c r="I81" s="58">
        <v>5</v>
      </c>
      <c r="J81" s="55" t="s">
        <v>993</v>
      </c>
      <c r="K81" s="56">
        <v>4</v>
      </c>
      <c r="L81" s="56"/>
      <c r="M81" s="57">
        <f t="shared" si="5"/>
        <v>0.05</v>
      </c>
      <c r="N81" s="57"/>
      <c r="O81" s="61">
        <v>40.220999999999997</v>
      </c>
      <c r="P81" s="62">
        <f t="shared" si="6"/>
        <v>8.0440000000000005</v>
      </c>
    </row>
    <row r="82" spans="2:16" ht="15" customHeight="1" x14ac:dyDescent="0.3">
      <c r="B82" s="56">
        <v>3</v>
      </c>
      <c r="C82" s="53" t="s">
        <v>1063</v>
      </c>
      <c r="D82" s="54" t="s">
        <v>1066</v>
      </c>
      <c r="E82" s="54"/>
      <c r="F82" s="54"/>
      <c r="G82" s="54"/>
      <c r="H82" s="59"/>
      <c r="I82" s="58">
        <v>10</v>
      </c>
      <c r="J82" s="55" t="s">
        <v>993</v>
      </c>
      <c r="K82" s="56">
        <v>2</v>
      </c>
      <c r="L82" s="56"/>
      <c r="M82" s="57">
        <f t="shared" si="5"/>
        <v>0.1</v>
      </c>
      <c r="N82" s="57"/>
      <c r="O82" s="61">
        <v>8</v>
      </c>
      <c r="P82" s="62">
        <f t="shared" si="6"/>
        <v>1.6</v>
      </c>
    </row>
    <row r="83" spans="2:16" ht="15" customHeight="1" x14ac:dyDescent="0.3">
      <c r="B83" s="56">
        <v>3</v>
      </c>
      <c r="C83" s="53" t="s">
        <v>1063</v>
      </c>
      <c r="D83" s="54" t="s">
        <v>1067</v>
      </c>
      <c r="E83" s="54"/>
      <c r="F83" s="54"/>
      <c r="G83" s="54"/>
      <c r="H83" s="59"/>
      <c r="I83" s="58">
        <v>10</v>
      </c>
      <c r="J83" s="55" t="s">
        <v>993</v>
      </c>
      <c r="K83" s="56">
        <v>1</v>
      </c>
      <c r="L83" s="56"/>
      <c r="M83" s="57">
        <f t="shared" ref="M83" si="9">+I83/100</f>
        <v>0.1</v>
      </c>
      <c r="N83" s="57"/>
      <c r="O83" s="61">
        <v>10</v>
      </c>
      <c r="P83" s="62">
        <f t="shared" ref="P83" si="10">+ROUND(PRODUCT(K83:O83),3)</f>
        <v>1</v>
      </c>
    </row>
    <row r="84" spans="2:16" ht="15" customHeight="1" x14ac:dyDescent="0.3">
      <c r="B84" s="56">
        <v>3</v>
      </c>
      <c r="C84" s="53" t="s">
        <v>1063</v>
      </c>
      <c r="D84" s="54" t="s">
        <v>1003</v>
      </c>
      <c r="E84" s="54"/>
      <c r="F84" s="54"/>
      <c r="G84" s="54"/>
      <c r="H84" s="59"/>
      <c r="I84" s="58">
        <v>5</v>
      </c>
      <c r="J84" s="55" t="s">
        <v>993</v>
      </c>
      <c r="K84" s="56">
        <v>4</v>
      </c>
      <c r="L84" s="56"/>
      <c r="M84" s="57">
        <f t="shared" si="5"/>
        <v>0.05</v>
      </c>
      <c r="N84" s="57"/>
      <c r="O84" s="61">
        <v>42.5</v>
      </c>
      <c r="P84" s="62">
        <f t="shared" si="6"/>
        <v>8.5</v>
      </c>
    </row>
    <row r="85" spans="2:16" ht="15" customHeight="1" x14ac:dyDescent="0.3">
      <c r="B85" s="118">
        <v>3</v>
      </c>
      <c r="C85" s="119" t="s">
        <v>1063</v>
      </c>
      <c r="D85" s="120" t="s">
        <v>1004</v>
      </c>
      <c r="E85" s="120"/>
      <c r="F85" s="120"/>
      <c r="G85" s="120"/>
      <c r="H85" s="133"/>
      <c r="I85" s="134">
        <v>15</v>
      </c>
      <c r="J85" s="121" t="s">
        <v>993</v>
      </c>
      <c r="K85" s="118">
        <v>4</v>
      </c>
      <c r="L85" s="118"/>
      <c r="M85" s="135">
        <f t="shared" si="5"/>
        <v>0.15</v>
      </c>
      <c r="N85" s="135"/>
      <c r="O85" s="124">
        <v>44.921999999999997</v>
      </c>
      <c r="P85" s="125">
        <f t="shared" si="6"/>
        <v>26.952999999999999</v>
      </c>
    </row>
    <row r="86" spans="2:16" ht="15" customHeight="1" x14ac:dyDescent="0.3">
      <c r="B86" s="96">
        <v>3</v>
      </c>
      <c r="C86" s="97" t="s">
        <v>1075</v>
      </c>
      <c r="D86" s="98" t="s">
        <v>996</v>
      </c>
      <c r="E86" s="98"/>
      <c r="F86" s="98"/>
      <c r="G86" s="98"/>
      <c r="H86" s="127"/>
      <c r="I86" s="128">
        <v>5</v>
      </c>
      <c r="J86" s="99" t="s">
        <v>993</v>
      </c>
      <c r="K86" s="96">
        <v>3</v>
      </c>
      <c r="L86" s="96"/>
      <c r="M86" s="129">
        <f t="shared" ref="M86:M92" si="11">+I86/100</f>
        <v>0.05</v>
      </c>
      <c r="N86" s="129"/>
      <c r="O86" s="102">
        <v>33.408000000000001</v>
      </c>
      <c r="P86" s="103">
        <f t="shared" ref="P86:P95" si="12">+ROUND(PRODUCT(K86:O86),3)</f>
        <v>5.0110000000000001</v>
      </c>
    </row>
    <row r="87" spans="2:16" ht="15" customHeight="1" x14ac:dyDescent="0.3">
      <c r="B87" s="56">
        <v>3</v>
      </c>
      <c r="C87" s="53" t="s">
        <v>1075</v>
      </c>
      <c r="D87" s="54" t="s">
        <v>999</v>
      </c>
      <c r="E87" s="54"/>
      <c r="F87" s="54"/>
      <c r="G87" s="54"/>
      <c r="H87" s="59"/>
      <c r="I87" s="58">
        <v>5</v>
      </c>
      <c r="J87" s="55" t="s">
        <v>993</v>
      </c>
      <c r="K87" s="56">
        <v>3</v>
      </c>
      <c r="L87" s="56"/>
      <c r="M87" s="57">
        <f t="shared" si="11"/>
        <v>0.05</v>
      </c>
      <c r="N87" s="57"/>
      <c r="O87" s="61">
        <v>35.640999999999998</v>
      </c>
      <c r="P87" s="62">
        <f t="shared" si="12"/>
        <v>5.3460000000000001</v>
      </c>
    </row>
    <row r="88" spans="2:16" ht="15" customHeight="1" x14ac:dyDescent="0.3">
      <c r="B88" s="56">
        <v>3</v>
      </c>
      <c r="C88" s="53" t="s">
        <v>1075</v>
      </c>
      <c r="D88" s="54" t="s">
        <v>1073</v>
      </c>
      <c r="E88" s="54"/>
      <c r="F88" s="54"/>
      <c r="G88" s="54"/>
      <c r="H88" s="59"/>
      <c r="I88" s="58">
        <v>10</v>
      </c>
      <c r="J88" s="55" t="s">
        <v>993</v>
      </c>
      <c r="K88" s="56">
        <v>1</v>
      </c>
      <c r="L88" s="56"/>
      <c r="M88" s="57">
        <f t="shared" si="11"/>
        <v>0.1</v>
      </c>
      <c r="N88" s="57"/>
      <c r="O88" s="70">
        <v>8</v>
      </c>
      <c r="P88" s="62">
        <f t="shared" si="12"/>
        <v>0.8</v>
      </c>
    </row>
    <row r="89" spans="2:16" ht="15" customHeight="1" x14ac:dyDescent="0.3">
      <c r="B89" s="56">
        <v>3</v>
      </c>
      <c r="C89" s="53" t="s">
        <v>1075</v>
      </c>
      <c r="D89" s="54" t="s">
        <v>1000</v>
      </c>
      <c r="E89" s="54"/>
      <c r="F89" s="54"/>
      <c r="G89" s="54"/>
      <c r="H89" s="59"/>
      <c r="I89" s="58">
        <v>5</v>
      </c>
      <c r="J89" s="55" t="s">
        <v>993</v>
      </c>
      <c r="K89" s="56">
        <v>3</v>
      </c>
      <c r="L89" s="56"/>
      <c r="M89" s="57">
        <f t="shared" si="11"/>
        <v>0.05</v>
      </c>
      <c r="N89" s="57"/>
      <c r="O89" s="61">
        <v>37.960999999999999</v>
      </c>
      <c r="P89" s="62">
        <f t="shared" si="12"/>
        <v>5.694</v>
      </c>
    </row>
    <row r="90" spans="2:16" ht="15" customHeight="1" x14ac:dyDescent="0.3">
      <c r="B90" s="56">
        <v>3</v>
      </c>
      <c r="C90" s="53" t="s">
        <v>1075</v>
      </c>
      <c r="D90" s="54" t="s">
        <v>1002</v>
      </c>
      <c r="E90" s="54"/>
      <c r="F90" s="54"/>
      <c r="G90" s="54"/>
      <c r="H90" s="59"/>
      <c r="I90" s="58">
        <v>5</v>
      </c>
      <c r="J90" s="55" t="s">
        <v>993</v>
      </c>
      <c r="K90" s="56">
        <v>3</v>
      </c>
      <c r="L90" s="56"/>
      <c r="M90" s="57">
        <f t="shared" si="11"/>
        <v>0.05</v>
      </c>
      <c r="N90" s="57"/>
      <c r="O90" s="61">
        <v>40.220999999999997</v>
      </c>
      <c r="P90" s="62">
        <f t="shared" si="12"/>
        <v>6.0330000000000004</v>
      </c>
    </row>
    <row r="91" spans="2:16" ht="15" customHeight="1" x14ac:dyDescent="0.3">
      <c r="B91" s="56">
        <v>3</v>
      </c>
      <c r="C91" s="53" t="s">
        <v>1075</v>
      </c>
      <c r="D91" s="54" t="s">
        <v>1066</v>
      </c>
      <c r="E91" s="54"/>
      <c r="F91" s="54"/>
      <c r="G91" s="54"/>
      <c r="H91" s="59"/>
      <c r="I91" s="58">
        <v>10</v>
      </c>
      <c r="J91" s="55" t="s">
        <v>993</v>
      </c>
      <c r="K91" s="56">
        <v>2</v>
      </c>
      <c r="L91" s="56"/>
      <c r="M91" s="57">
        <f t="shared" si="11"/>
        <v>0.1</v>
      </c>
      <c r="N91" s="57"/>
      <c r="O91" s="61">
        <v>8</v>
      </c>
      <c r="P91" s="62">
        <f t="shared" si="12"/>
        <v>1.6</v>
      </c>
    </row>
    <row r="92" spans="2:16" ht="15" customHeight="1" x14ac:dyDescent="0.3">
      <c r="B92" s="56">
        <v>3</v>
      </c>
      <c r="C92" s="53" t="s">
        <v>1075</v>
      </c>
      <c r="D92" s="54" t="s">
        <v>1003</v>
      </c>
      <c r="E92" s="54"/>
      <c r="F92" s="54"/>
      <c r="G92" s="54"/>
      <c r="H92" s="59"/>
      <c r="I92" s="58">
        <v>5</v>
      </c>
      <c r="J92" s="55" t="s">
        <v>993</v>
      </c>
      <c r="K92" s="56">
        <v>3</v>
      </c>
      <c r="L92" s="56"/>
      <c r="M92" s="57">
        <f t="shared" si="11"/>
        <v>0.05</v>
      </c>
      <c r="N92" s="57"/>
      <c r="O92" s="61">
        <v>42.5</v>
      </c>
      <c r="P92" s="62">
        <f t="shared" si="12"/>
        <v>6.375</v>
      </c>
    </row>
    <row r="93" spans="2:16" ht="15" customHeight="1" x14ac:dyDescent="0.3">
      <c r="B93" s="56">
        <v>3</v>
      </c>
      <c r="C93" s="53" t="s">
        <v>1075</v>
      </c>
      <c r="D93" s="54" t="s">
        <v>1004</v>
      </c>
      <c r="E93" s="54"/>
      <c r="F93" s="54"/>
      <c r="G93" s="54"/>
      <c r="H93" s="59"/>
      <c r="I93" s="58">
        <v>15</v>
      </c>
      <c r="J93" s="55" t="s">
        <v>993</v>
      </c>
      <c r="K93" s="56">
        <v>2</v>
      </c>
      <c r="L93" s="56"/>
      <c r="M93" s="57">
        <f t="shared" ref="M93" si="13">+I93/100</f>
        <v>0.15</v>
      </c>
      <c r="N93" s="57"/>
      <c r="O93" s="61">
        <v>44.921999999999997</v>
      </c>
      <c r="P93" s="62">
        <f t="shared" ref="P93:P94" si="14">+ROUND(PRODUCT(K93:O93),3)</f>
        <v>13.477</v>
      </c>
    </row>
    <row r="94" spans="2:16" ht="15" customHeight="1" x14ac:dyDescent="0.3">
      <c r="B94" s="56">
        <v>3</v>
      </c>
      <c r="C94" s="53" t="s">
        <v>1075</v>
      </c>
      <c r="D94" s="54" t="s">
        <v>1004</v>
      </c>
      <c r="E94" s="54"/>
      <c r="F94" s="54"/>
      <c r="G94" s="54"/>
      <c r="H94" s="59"/>
      <c r="I94" s="58">
        <v>5</v>
      </c>
      <c r="J94" s="55" t="s">
        <v>993</v>
      </c>
      <c r="K94" s="56">
        <v>1</v>
      </c>
      <c r="L94" s="56"/>
      <c r="M94" s="57">
        <v>0.05</v>
      </c>
      <c r="N94" s="57"/>
      <c r="O94" s="61">
        <v>44.921999999999997</v>
      </c>
      <c r="P94" s="62">
        <f t="shared" si="14"/>
        <v>2.246</v>
      </c>
    </row>
    <row r="95" spans="2:16" ht="15" hidden="1" customHeight="1" x14ac:dyDescent="0.3">
      <c r="B95" s="56">
        <v>3</v>
      </c>
      <c r="C95" s="53" t="s">
        <v>1075</v>
      </c>
      <c r="D95" s="54" t="s">
        <v>1004</v>
      </c>
      <c r="E95" s="54"/>
      <c r="F95" s="54"/>
      <c r="G95" s="54"/>
      <c r="H95" s="59"/>
      <c r="I95" s="58">
        <v>0</v>
      </c>
      <c r="J95" s="55" t="s">
        <v>993</v>
      </c>
      <c r="K95" s="56">
        <v>0</v>
      </c>
      <c r="L95" s="56"/>
      <c r="M95" s="57">
        <v>0</v>
      </c>
      <c r="N95" s="57"/>
      <c r="O95" s="61">
        <v>44.921999999999997</v>
      </c>
      <c r="P95" s="62">
        <f t="shared" si="12"/>
        <v>0</v>
      </c>
    </row>
    <row r="96" spans="2:16" ht="15" customHeight="1" x14ac:dyDescent="0.3">
      <c r="B96" s="39"/>
      <c r="C96" s="42"/>
      <c r="D96" s="40"/>
      <c r="E96" s="40"/>
      <c r="F96" s="40"/>
      <c r="G96" s="40"/>
      <c r="H96" s="41"/>
      <c r="I96" s="41"/>
      <c r="J96" s="41"/>
      <c r="K96" s="41"/>
      <c r="L96" s="41"/>
      <c r="M96" s="41"/>
      <c r="N96" s="41"/>
      <c r="O96" s="42"/>
      <c r="P96" s="43"/>
    </row>
    <row r="97" spans="2:31" ht="15" customHeight="1" x14ac:dyDescent="0.3">
      <c r="C97" s="30"/>
      <c r="D97" s="33"/>
      <c r="E97" s="33"/>
      <c r="F97" s="33"/>
      <c r="G97" s="33"/>
      <c r="H97" s="12"/>
      <c r="I97" s="12"/>
      <c r="J97" s="12"/>
      <c r="K97" s="12"/>
      <c r="L97" s="12"/>
      <c r="M97" s="12"/>
      <c r="N97" s="12"/>
      <c r="O97" s="30"/>
    </row>
    <row r="98" spans="2:31" ht="30" customHeight="1" x14ac:dyDescent="0.3">
      <c r="B98" s="186" t="s">
        <v>7</v>
      </c>
      <c r="C98" s="189"/>
      <c r="D98" s="186" t="s">
        <v>8</v>
      </c>
      <c r="E98" s="187"/>
      <c r="F98" s="187"/>
      <c r="G98" s="187"/>
      <c r="H98" s="187"/>
      <c r="I98" s="187"/>
      <c r="J98" s="187"/>
      <c r="K98" s="187"/>
      <c r="L98" s="187"/>
      <c r="M98" s="34" t="s">
        <v>9</v>
      </c>
      <c r="N98" s="85" t="s">
        <v>1084</v>
      </c>
      <c r="O98" s="85" t="s">
        <v>1085</v>
      </c>
      <c r="P98" s="35" t="s">
        <v>1086</v>
      </c>
    </row>
    <row r="99" spans="2:31" ht="30" customHeight="1" x14ac:dyDescent="0.3">
      <c r="B99" s="190" t="s">
        <v>124</v>
      </c>
      <c r="C99" s="191"/>
      <c r="D99" s="207" t="str">
        <f>+VLOOKUP(B99,[2]Liste!B:E,2,FALSE)</f>
        <v>Püskürtme Beton (Tünel ve Şaftlarda)</v>
      </c>
      <c r="E99" s="208"/>
      <c r="F99" s="208"/>
      <c r="G99" s="208"/>
      <c r="H99" s="208"/>
      <c r="I99" s="208"/>
      <c r="J99" s="208"/>
      <c r="K99" s="208"/>
      <c r="L99" s="208"/>
      <c r="M99" s="36" t="str">
        <f>+VLOOKUP(B99,[2]Liste!B:E,3,FALSE)</f>
        <v>m³</v>
      </c>
      <c r="N99" s="60">
        <v>496.02699999999999</v>
      </c>
      <c r="O99" s="60">
        <f>+P99-N99</f>
        <v>0</v>
      </c>
      <c r="P99" s="60">
        <f>+ROUND(SUM(P100:P180),3)</f>
        <v>496.02699999999999</v>
      </c>
      <c r="AA99" s="9">
        <f>+VLOOKUP(B99,[1]Liste!$B$2:$F$483,5,FALSE)</f>
        <v>15334</v>
      </c>
      <c r="AC99" s="9">
        <f>+AA99*N99</f>
        <v>7606078.0180000002</v>
      </c>
      <c r="AD99" s="9">
        <f>+AA99*O99</f>
        <v>0</v>
      </c>
      <c r="AE99" s="9">
        <f>+AA99*P99</f>
        <v>7606078.0180000002</v>
      </c>
    </row>
    <row r="100" spans="2:31" ht="15" customHeight="1" x14ac:dyDescent="0.3">
      <c r="B100" s="51" t="s">
        <v>1015</v>
      </c>
      <c r="C100" s="78"/>
      <c r="D100" s="45"/>
      <c r="E100" s="45"/>
      <c r="F100" s="45"/>
      <c r="G100" s="45"/>
      <c r="H100" s="46"/>
      <c r="I100" s="46"/>
      <c r="J100" s="46"/>
      <c r="K100" s="47"/>
      <c r="L100" s="47"/>
      <c r="M100" s="48"/>
      <c r="N100" s="48"/>
      <c r="O100" s="49"/>
      <c r="P100" s="50"/>
    </row>
    <row r="101" spans="2:31" ht="30" customHeight="1" x14ac:dyDescent="0.3">
      <c r="B101" s="93" t="s">
        <v>981</v>
      </c>
      <c r="C101" s="93" t="s">
        <v>991</v>
      </c>
      <c r="D101" s="94" t="s">
        <v>990</v>
      </c>
      <c r="E101" s="94"/>
      <c r="F101" s="94"/>
      <c r="G101" s="94"/>
      <c r="H101" s="93" t="s">
        <v>988</v>
      </c>
      <c r="I101" s="93" t="s">
        <v>987</v>
      </c>
      <c r="J101" s="93" t="s">
        <v>992</v>
      </c>
      <c r="K101" s="93" t="s">
        <v>989</v>
      </c>
      <c r="L101" s="95" t="s">
        <v>1007</v>
      </c>
      <c r="M101" s="93" t="s">
        <v>12</v>
      </c>
      <c r="N101" s="93"/>
      <c r="O101" s="95" t="s">
        <v>983</v>
      </c>
      <c r="P101" s="95" t="s">
        <v>14</v>
      </c>
    </row>
    <row r="102" spans="2:31" ht="15" customHeight="1" x14ac:dyDescent="0.3">
      <c r="B102" s="104">
        <v>3</v>
      </c>
      <c r="C102" s="105" t="s">
        <v>1059</v>
      </c>
      <c r="D102" s="106" t="s">
        <v>1060</v>
      </c>
      <c r="E102" s="106"/>
      <c r="F102" s="106"/>
      <c r="G102" s="106"/>
      <c r="H102" s="107">
        <v>1358.63</v>
      </c>
      <c r="I102" s="107">
        <v>1372.13</v>
      </c>
      <c r="J102" s="107" t="s">
        <v>993</v>
      </c>
      <c r="K102" s="104">
        <v>3</v>
      </c>
      <c r="L102" s="137">
        <v>0.9</v>
      </c>
      <c r="M102" s="104">
        <v>0.75</v>
      </c>
      <c r="N102" s="108" t="s">
        <v>1008</v>
      </c>
      <c r="O102" s="110">
        <v>4.8230000000000004</v>
      </c>
      <c r="P102" s="111">
        <f t="shared" ref="P102:P118" si="15">+ROUND(PRODUCT(K102:O102),3)</f>
        <v>9.7669999999999995</v>
      </c>
    </row>
    <row r="103" spans="2:31" ht="15" customHeight="1" x14ac:dyDescent="0.3">
      <c r="B103" s="56">
        <v>3</v>
      </c>
      <c r="C103" s="53" t="s">
        <v>1059</v>
      </c>
      <c r="D103" s="54" t="s">
        <v>1060</v>
      </c>
      <c r="E103" s="54"/>
      <c r="F103" s="54"/>
      <c r="G103" s="54"/>
      <c r="H103" s="55">
        <v>1358.63</v>
      </c>
      <c r="I103" s="55">
        <v>1372.13</v>
      </c>
      <c r="J103" s="55" t="s">
        <v>993</v>
      </c>
      <c r="K103" s="56">
        <v>3</v>
      </c>
      <c r="L103" s="72">
        <v>0.9</v>
      </c>
      <c r="M103" s="56">
        <v>0.75</v>
      </c>
      <c r="N103" s="83" t="s">
        <v>1009</v>
      </c>
      <c r="O103" s="61">
        <v>4.9390000000000001</v>
      </c>
      <c r="P103" s="62">
        <f t="shared" si="15"/>
        <v>10.000999999999999</v>
      </c>
    </row>
    <row r="104" spans="2:31" ht="15" customHeight="1" x14ac:dyDescent="0.3">
      <c r="B104" s="56">
        <v>3</v>
      </c>
      <c r="C104" s="53" t="s">
        <v>1059</v>
      </c>
      <c r="D104" s="54" t="s">
        <v>1060</v>
      </c>
      <c r="E104" s="54"/>
      <c r="F104" s="54"/>
      <c r="G104" s="54"/>
      <c r="H104" s="55">
        <v>1358.63</v>
      </c>
      <c r="I104" s="55">
        <v>1372.13</v>
      </c>
      <c r="J104" s="55" t="s">
        <v>993</v>
      </c>
      <c r="K104" s="56">
        <v>3</v>
      </c>
      <c r="L104" s="72">
        <v>0.9</v>
      </c>
      <c r="M104" s="56">
        <v>0.75</v>
      </c>
      <c r="N104" s="83" t="s">
        <v>1010</v>
      </c>
      <c r="O104" s="61">
        <v>5.1100000000000003</v>
      </c>
      <c r="P104" s="62">
        <f t="shared" si="15"/>
        <v>10.348000000000001</v>
      </c>
    </row>
    <row r="105" spans="2:31" ht="15" customHeight="1" x14ac:dyDescent="0.3">
      <c r="B105" s="56">
        <v>3</v>
      </c>
      <c r="C105" s="53" t="s">
        <v>1059</v>
      </c>
      <c r="D105" s="54" t="s">
        <v>1060</v>
      </c>
      <c r="E105" s="54"/>
      <c r="F105" s="54"/>
      <c r="G105" s="54"/>
      <c r="H105" s="55">
        <v>1358.63</v>
      </c>
      <c r="I105" s="55">
        <v>1372.13</v>
      </c>
      <c r="J105" s="55" t="s">
        <v>993</v>
      </c>
      <c r="K105" s="56">
        <v>3</v>
      </c>
      <c r="L105" s="72">
        <v>0.9</v>
      </c>
      <c r="M105" s="56">
        <v>0.75</v>
      </c>
      <c r="N105" s="83" t="s">
        <v>1011</v>
      </c>
      <c r="O105" s="61">
        <v>5.29</v>
      </c>
      <c r="P105" s="62">
        <f t="shared" si="15"/>
        <v>10.712</v>
      </c>
    </row>
    <row r="106" spans="2:31" ht="15" customHeight="1" x14ac:dyDescent="0.3">
      <c r="B106" s="56">
        <v>3</v>
      </c>
      <c r="C106" s="53" t="s">
        <v>1059</v>
      </c>
      <c r="D106" s="54" t="s">
        <v>1060</v>
      </c>
      <c r="E106" s="54"/>
      <c r="F106" s="54"/>
      <c r="G106" s="54"/>
      <c r="H106" s="55">
        <v>1358.63</v>
      </c>
      <c r="I106" s="55">
        <v>1372.13</v>
      </c>
      <c r="J106" s="55" t="s">
        <v>993</v>
      </c>
      <c r="K106" s="56">
        <v>3</v>
      </c>
      <c r="L106" s="72">
        <v>0.9</v>
      </c>
      <c r="M106" s="56">
        <v>0.75</v>
      </c>
      <c r="N106" s="83" t="s">
        <v>1012</v>
      </c>
      <c r="O106" s="61">
        <v>5.4560000000000004</v>
      </c>
      <c r="P106" s="62">
        <f t="shared" si="15"/>
        <v>11.048</v>
      </c>
    </row>
    <row r="107" spans="2:31" ht="15" customHeight="1" x14ac:dyDescent="0.3">
      <c r="B107" s="56">
        <v>3</v>
      </c>
      <c r="C107" s="53" t="s">
        <v>1059</v>
      </c>
      <c r="D107" s="54" t="s">
        <v>1060</v>
      </c>
      <c r="E107" s="54"/>
      <c r="F107" s="54"/>
      <c r="G107" s="54"/>
      <c r="H107" s="55">
        <v>1358.63</v>
      </c>
      <c r="I107" s="55">
        <v>1372.13</v>
      </c>
      <c r="J107" s="55" t="s">
        <v>993</v>
      </c>
      <c r="K107" s="56">
        <v>3</v>
      </c>
      <c r="L107" s="72">
        <v>0.9</v>
      </c>
      <c r="M107" s="56">
        <v>0.75</v>
      </c>
      <c r="N107" s="83" t="s">
        <v>1013</v>
      </c>
      <c r="O107" s="61">
        <v>5.6120000000000001</v>
      </c>
      <c r="P107" s="62">
        <f t="shared" si="15"/>
        <v>11.364000000000001</v>
      </c>
    </row>
    <row r="108" spans="2:31" ht="15" customHeight="1" x14ac:dyDescent="0.3">
      <c r="B108" s="104">
        <v>3</v>
      </c>
      <c r="C108" s="105" t="s">
        <v>1063</v>
      </c>
      <c r="D108" s="106" t="s">
        <v>1064</v>
      </c>
      <c r="E108" s="106"/>
      <c r="F108" s="106"/>
      <c r="G108" s="106"/>
      <c r="H108" s="107">
        <v>1372.13</v>
      </c>
      <c r="I108" s="107">
        <v>1390.13</v>
      </c>
      <c r="J108" s="107" t="s">
        <v>993</v>
      </c>
      <c r="K108" s="104">
        <v>4</v>
      </c>
      <c r="L108" s="137">
        <v>0.9</v>
      </c>
      <c r="M108" s="104">
        <v>0.75</v>
      </c>
      <c r="N108" s="112" t="s">
        <v>1008</v>
      </c>
      <c r="O108" s="110">
        <v>4.8230000000000004</v>
      </c>
      <c r="P108" s="111">
        <f t="shared" si="15"/>
        <v>13.022</v>
      </c>
    </row>
    <row r="109" spans="2:31" ht="15" customHeight="1" x14ac:dyDescent="0.3">
      <c r="B109" s="56">
        <v>3</v>
      </c>
      <c r="C109" s="53" t="s">
        <v>1063</v>
      </c>
      <c r="D109" s="54" t="s">
        <v>1064</v>
      </c>
      <c r="E109" s="54"/>
      <c r="F109" s="54"/>
      <c r="G109" s="54"/>
      <c r="H109" s="55">
        <v>1372.13</v>
      </c>
      <c r="I109" s="55">
        <v>1390.13</v>
      </c>
      <c r="J109" s="55" t="s">
        <v>993</v>
      </c>
      <c r="K109" s="56">
        <v>4</v>
      </c>
      <c r="L109" s="72">
        <v>0.9</v>
      </c>
      <c r="M109" s="56">
        <v>0.75</v>
      </c>
      <c r="N109" s="83" t="s">
        <v>1009</v>
      </c>
      <c r="O109" s="61">
        <v>4.9390000000000001</v>
      </c>
      <c r="P109" s="62">
        <f t="shared" si="15"/>
        <v>13.335000000000001</v>
      </c>
    </row>
    <row r="110" spans="2:31" ht="15" customHeight="1" x14ac:dyDescent="0.3">
      <c r="B110" s="56">
        <v>3</v>
      </c>
      <c r="C110" s="53" t="s">
        <v>1063</v>
      </c>
      <c r="D110" s="54" t="s">
        <v>1064</v>
      </c>
      <c r="E110" s="54"/>
      <c r="F110" s="54"/>
      <c r="G110" s="54"/>
      <c r="H110" s="55">
        <v>1372.13</v>
      </c>
      <c r="I110" s="55">
        <v>1390.13</v>
      </c>
      <c r="J110" s="55" t="s">
        <v>993</v>
      </c>
      <c r="K110" s="56">
        <v>4</v>
      </c>
      <c r="L110" s="72">
        <v>0.9</v>
      </c>
      <c r="M110" s="56">
        <v>0.75</v>
      </c>
      <c r="N110" s="83" t="s">
        <v>1010</v>
      </c>
      <c r="O110" s="61">
        <v>5.1100000000000003</v>
      </c>
      <c r="P110" s="62">
        <f t="shared" si="15"/>
        <v>13.797000000000001</v>
      </c>
    </row>
    <row r="111" spans="2:31" ht="15" customHeight="1" x14ac:dyDescent="0.3">
      <c r="B111" s="56">
        <v>3</v>
      </c>
      <c r="C111" s="53" t="s">
        <v>1063</v>
      </c>
      <c r="D111" s="54" t="s">
        <v>1064</v>
      </c>
      <c r="E111" s="54"/>
      <c r="F111" s="54"/>
      <c r="G111" s="54"/>
      <c r="H111" s="55">
        <v>1372.13</v>
      </c>
      <c r="I111" s="55">
        <v>1390.13</v>
      </c>
      <c r="J111" s="55" t="s">
        <v>993</v>
      </c>
      <c r="K111" s="56">
        <v>4</v>
      </c>
      <c r="L111" s="72">
        <v>0.9</v>
      </c>
      <c r="M111" s="56">
        <v>0.75</v>
      </c>
      <c r="N111" s="83" t="s">
        <v>1011</v>
      </c>
      <c r="O111" s="61">
        <v>5.29</v>
      </c>
      <c r="P111" s="62">
        <f t="shared" si="15"/>
        <v>14.282999999999999</v>
      </c>
    </row>
    <row r="112" spans="2:31" ht="15" customHeight="1" x14ac:dyDescent="0.3">
      <c r="B112" s="56">
        <v>3</v>
      </c>
      <c r="C112" s="53" t="s">
        <v>1063</v>
      </c>
      <c r="D112" s="54" t="s">
        <v>1064</v>
      </c>
      <c r="E112" s="54"/>
      <c r="F112" s="54"/>
      <c r="G112" s="54"/>
      <c r="H112" s="55">
        <v>1372.13</v>
      </c>
      <c r="I112" s="55">
        <v>1390.13</v>
      </c>
      <c r="J112" s="55" t="s">
        <v>993</v>
      </c>
      <c r="K112" s="56">
        <v>4</v>
      </c>
      <c r="L112" s="72">
        <v>0.9</v>
      </c>
      <c r="M112" s="56">
        <v>0.75</v>
      </c>
      <c r="N112" s="83" t="s">
        <v>1012</v>
      </c>
      <c r="O112" s="61">
        <v>5.4560000000000004</v>
      </c>
      <c r="P112" s="62">
        <f t="shared" si="15"/>
        <v>14.731</v>
      </c>
    </row>
    <row r="113" spans="2:18" ht="15" customHeight="1" x14ac:dyDescent="0.3">
      <c r="B113" s="56">
        <v>3</v>
      </c>
      <c r="C113" s="53" t="s">
        <v>1063</v>
      </c>
      <c r="D113" s="54" t="s">
        <v>1064</v>
      </c>
      <c r="E113" s="54"/>
      <c r="F113" s="54"/>
      <c r="G113" s="54"/>
      <c r="H113" s="55">
        <v>1372.13</v>
      </c>
      <c r="I113" s="55">
        <v>1390.13</v>
      </c>
      <c r="J113" s="55" t="s">
        <v>993</v>
      </c>
      <c r="K113" s="56">
        <v>4</v>
      </c>
      <c r="L113" s="72">
        <v>0.9</v>
      </c>
      <c r="M113" s="56">
        <v>0.75</v>
      </c>
      <c r="N113" s="83" t="s">
        <v>1013</v>
      </c>
      <c r="O113" s="61">
        <v>5.6120000000000001</v>
      </c>
      <c r="P113" s="62">
        <f t="shared" si="15"/>
        <v>15.151999999999999</v>
      </c>
    </row>
    <row r="114" spans="2:18" ht="15" customHeight="1" x14ac:dyDescent="0.3">
      <c r="B114" s="104">
        <v>3</v>
      </c>
      <c r="C114" s="105" t="s">
        <v>1075</v>
      </c>
      <c r="D114" s="106" t="s">
        <v>1076</v>
      </c>
      <c r="E114" s="106"/>
      <c r="F114" s="106"/>
      <c r="G114" s="106"/>
      <c r="H114" s="107">
        <v>1390.13</v>
      </c>
      <c r="I114" s="107">
        <v>1404.56</v>
      </c>
      <c r="J114" s="107" t="s">
        <v>993</v>
      </c>
      <c r="K114" s="104">
        <v>3</v>
      </c>
      <c r="L114" s="137">
        <v>0.9</v>
      </c>
      <c r="M114" s="104">
        <v>0.75</v>
      </c>
      <c r="N114" s="112" t="s">
        <v>1008</v>
      </c>
      <c r="O114" s="110">
        <v>4.8230000000000004</v>
      </c>
      <c r="P114" s="111">
        <f t="shared" si="15"/>
        <v>9.7669999999999995</v>
      </c>
    </row>
    <row r="115" spans="2:18" ht="15" customHeight="1" x14ac:dyDescent="0.3">
      <c r="B115" s="56">
        <v>3</v>
      </c>
      <c r="C115" s="53" t="s">
        <v>1075</v>
      </c>
      <c r="D115" s="54" t="s">
        <v>1076</v>
      </c>
      <c r="E115" s="54"/>
      <c r="F115" s="54"/>
      <c r="G115" s="54"/>
      <c r="H115" s="55">
        <v>1390.13</v>
      </c>
      <c r="I115" s="55">
        <v>1404.56</v>
      </c>
      <c r="J115" s="55" t="s">
        <v>993</v>
      </c>
      <c r="K115" s="56">
        <v>3</v>
      </c>
      <c r="L115" s="72">
        <v>0.9</v>
      </c>
      <c r="M115" s="56">
        <v>0.75</v>
      </c>
      <c r="N115" s="83" t="s">
        <v>1009</v>
      </c>
      <c r="O115" s="61">
        <v>4.9390000000000001</v>
      </c>
      <c r="P115" s="62">
        <f t="shared" si="15"/>
        <v>10.000999999999999</v>
      </c>
    </row>
    <row r="116" spans="2:18" ht="15" customHeight="1" x14ac:dyDescent="0.3">
      <c r="B116" s="56">
        <v>3</v>
      </c>
      <c r="C116" s="53" t="s">
        <v>1075</v>
      </c>
      <c r="D116" s="54" t="s">
        <v>1076</v>
      </c>
      <c r="E116" s="54"/>
      <c r="F116" s="54"/>
      <c r="G116" s="54"/>
      <c r="H116" s="55">
        <v>1390.13</v>
      </c>
      <c r="I116" s="55">
        <v>1404.56</v>
      </c>
      <c r="J116" s="55" t="s">
        <v>993</v>
      </c>
      <c r="K116" s="56">
        <v>3</v>
      </c>
      <c r="L116" s="72">
        <v>0.9</v>
      </c>
      <c r="M116" s="56">
        <v>0.75</v>
      </c>
      <c r="N116" s="83" t="s">
        <v>1010</v>
      </c>
      <c r="O116" s="61">
        <v>5.1100000000000003</v>
      </c>
      <c r="P116" s="62">
        <f t="shared" si="15"/>
        <v>10.348000000000001</v>
      </c>
    </row>
    <row r="117" spans="2:18" ht="15" customHeight="1" x14ac:dyDescent="0.3">
      <c r="B117" s="56">
        <v>3</v>
      </c>
      <c r="C117" s="53" t="s">
        <v>1075</v>
      </c>
      <c r="D117" s="54" t="s">
        <v>1076</v>
      </c>
      <c r="E117" s="54"/>
      <c r="F117" s="54"/>
      <c r="G117" s="54"/>
      <c r="H117" s="55">
        <v>1390.13</v>
      </c>
      <c r="I117" s="55">
        <v>1404.56</v>
      </c>
      <c r="J117" s="55" t="s">
        <v>993</v>
      </c>
      <c r="K117" s="56">
        <v>3</v>
      </c>
      <c r="L117" s="72">
        <v>0.9</v>
      </c>
      <c r="M117" s="56">
        <v>0.75</v>
      </c>
      <c r="N117" s="83" t="s">
        <v>1011</v>
      </c>
      <c r="O117" s="61">
        <v>5.29</v>
      </c>
      <c r="P117" s="62">
        <f t="shared" si="15"/>
        <v>10.712</v>
      </c>
    </row>
    <row r="118" spans="2:18" ht="15" customHeight="1" x14ac:dyDescent="0.3">
      <c r="B118" s="56">
        <v>3</v>
      </c>
      <c r="C118" s="53" t="s">
        <v>1075</v>
      </c>
      <c r="D118" s="54" t="s">
        <v>1076</v>
      </c>
      <c r="E118" s="54"/>
      <c r="F118" s="54"/>
      <c r="G118" s="54"/>
      <c r="H118" s="55">
        <v>1390.13</v>
      </c>
      <c r="I118" s="55">
        <v>1404.56</v>
      </c>
      <c r="J118" s="55" t="s">
        <v>993</v>
      </c>
      <c r="K118" s="56">
        <v>3</v>
      </c>
      <c r="L118" s="72">
        <v>0.9</v>
      </c>
      <c r="M118" s="56">
        <v>0.75</v>
      </c>
      <c r="N118" s="83" t="s">
        <v>1012</v>
      </c>
      <c r="O118" s="61">
        <v>5.4560000000000004</v>
      </c>
      <c r="P118" s="62">
        <f t="shared" si="15"/>
        <v>11.048</v>
      </c>
    </row>
    <row r="119" spans="2:18" ht="15" customHeight="1" x14ac:dyDescent="0.3">
      <c r="B119" s="56">
        <v>3</v>
      </c>
      <c r="C119" s="53" t="s">
        <v>1075</v>
      </c>
      <c r="D119" s="54" t="s">
        <v>1076</v>
      </c>
      <c r="E119" s="54"/>
      <c r="F119" s="54"/>
      <c r="G119" s="54"/>
      <c r="H119" s="55">
        <v>1390.13</v>
      </c>
      <c r="I119" s="55">
        <v>1404.56</v>
      </c>
      <c r="J119" s="55" t="s">
        <v>993</v>
      </c>
      <c r="K119" s="56">
        <v>3</v>
      </c>
      <c r="L119" s="87">
        <v>0.9</v>
      </c>
      <c r="M119" s="56">
        <v>0.75</v>
      </c>
      <c r="N119" s="83" t="s">
        <v>1013</v>
      </c>
      <c r="O119" s="70">
        <v>5.6120000000000001</v>
      </c>
      <c r="P119" s="88">
        <f t="shared" ref="P119" si="16">+ROUND(PRODUCT(K119:O119),3)</f>
        <v>11.364000000000001</v>
      </c>
    </row>
    <row r="120" spans="2:18" ht="15" customHeight="1" x14ac:dyDescent="0.3">
      <c r="B120" s="118">
        <v>3</v>
      </c>
      <c r="C120" s="119" t="s">
        <v>1075</v>
      </c>
      <c r="D120" s="120" t="s">
        <v>1076</v>
      </c>
      <c r="E120" s="120"/>
      <c r="F120" s="120"/>
      <c r="G120" s="120"/>
      <c r="H120" s="121">
        <v>1390.13</v>
      </c>
      <c r="I120" s="121">
        <v>1404.56</v>
      </c>
      <c r="J120" s="121" t="s">
        <v>993</v>
      </c>
      <c r="K120" s="118">
        <v>1</v>
      </c>
      <c r="L120" s="183">
        <v>0.9</v>
      </c>
      <c r="M120" s="118">
        <v>0.93</v>
      </c>
      <c r="N120" s="184" t="s">
        <v>1013</v>
      </c>
      <c r="O120" s="176">
        <v>5.6120000000000001</v>
      </c>
      <c r="P120" s="185">
        <f>+ROUND(PRODUCT(K120:O120),3)</f>
        <v>4.6970000000000001</v>
      </c>
    </row>
    <row r="121" spans="2:18" ht="15" customHeight="1" x14ac:dyDescent="0.3">
      <c r="B121" s="56">
        <v>5</v>
      </c>
      <c r="C121" s="53" t="s">
        <v>1091</v>
      </c>
      <c r="D121" s="54" t="s">
        <v>1082</v>
      </c>
      <c r="E121" s="54"/>
      <c r="F121" s="54"/>
      <c r="G121" s="54"/>
      <c r="H121" s="55">
        <v>1358.63</v>
      </c>
      <c r="I121" s="55">
        <v>1404.56</v>
      </c>
      <c r="J121" s="55" t="s">
        <v>993</v>
      </c>
      <c r="K121" s="56">
        <v>1</v>
      </c>
      <c r="L121" s="87">
        <v>0.1</v>
      </c>
      <c r="M121" s="179">
        <f>+I121-H121</f>
        <v>45.929999999999836</v>
      </c>
      <c r="N121" s="83" t="s">
        <v>1092</v>
      </c>
      <c r="O121" s="70">
        <v>5.2050000000000001</v>
      </c>
      <c r="P121" s="88">
        <f t="shared" ref="P121" si="17">+ROUND(PRODUCT(K121:O121),3)</f>
        <v>23.907</v>
      </c>
      <c r="R121" s="9" t="s">
        <v>1093</v>
      </c>
    </row>
    <row r="122" spans="2:18" ht="15" customHeight="1" x14ac:dyDescent="0.3">
      <c r="B122" s="51" t="s">
        <v>1016</v>
      </c>
      <c r="C122" s="78"/>
      <c r="D122" s="45"/>
      <c r="E122" s="45"/>
      <c r="F122" s="45"/>
      <c r="G122" s="45"/>
      <c r="H122" s="46"/>
      <c r="I122" s="46"/>
      <c r="J122" s="46"/>
      <c r="K122" s="47"/>
      <c r="L122" s="47"/>
      <c r="M122" s="48"/>
      <c r="N122" s="48"/>
      <c r="O122" s="49"/>
      <c r="P122" s="50"/>
    </row>
    <row r="123" spans="2:18" ht="15" customHeight="1" x14ac:dyDescent="0.3">
      <c r="B123" s="93" t="s">
        <v>981</v>
      </c>
      <c r="C123" s="93" t="s">
        <v>991</v>
      </c>
      <c r="D123" s="94" t="s">
        <v>990</v>
      </c>
      <c r="E123" s="94"/>
      <c r="F123" s="94"/>
      <c r="G123" s="94"/>
      <c r="H123" s="93" t="s">
        <v>988</v>
      </c>
      <c r="I123" s="93" t="s">
        <v>987</v>
      </c>
      <c r="J123" s="93" t="s">
        <v>992</v>
      </c>
      <c r="K123" s="93" t="s">
        <v>989</v>
      </c>
      <c r="L123" s="93" t="s">
        <v>984</v>
      </c>
      <c r="M123" s="93" t="s">
        <v>12</v>
      </c>
      <c r="N123" s="93"/>
      <c r="O123" s="95" t="s">
        <v>983</v>
      </c>
      <c r="P123" s="95" t="s">
        <v>14</v>
      </c>
    </row>
    <row r="124" spans="2:18" ht="15" customHeight="1" x14ac:dyDescent="0.3">
      <c r="B124" s="104">
        <v>3</v>
      </c>
      <c r="C124" s="105" t="s">
        <v>1059</v>
      </c>
      <c r="D124" s="106" t="s">
        <v>1060</v>
      </c>
      <c r="E124" s="106"/>
      <c r="F124" s="106"/>
      <c r="G124" s="106"/>
      <c r="H124" s="107">
        <v>1358.63</v>
      </c>
      <c r="I124" s="107">
        <v>1366.13</v>
      </c>
      <c r="J124" s="107" t="s">
        <v>1006</v>
      </c>
      <c r="K124" s="104">
        <v>2</v>
      </c>
      <c r="L124" s="104">
        <v>0.75</v>
      </c>
      <c r="M124" s="116" t="s">
        <v>1024</v>
      </c>
      <c r="N124" s="117"/>
      <c r="O124" s="110">
        <v>1.484</v>
      </c>
      <c r="P124" s="111">
        <f t="shared" ref="P124:P148" si="18">+ROUND(PRODUCT(K124:O124),3)</f>
        <v>2.226</v>
      </c>
    </row>
    <row r="125" spans="2:18" ht="15" customHeight="1" x14ac:dyDescent="0.3">
      <c r="B125" s="56">
        <v>3</v>
      </c>
      <c r="C125" s="53" t="s">
        <v>1059</v>
      </c>
      <c r="D125" s="54" t="s">
        <v>1060</v>
      </c>
      <c r="E125" s="54"/>
      <c r="F125" s="54"/>
      <c r="G125" s="54"/>
      <c r="H125" s="55">
        <v>1358.63</v>
      </c>
      <c r="I125" s="55">
        <v>1366.13</v>
      </c>
      <c r="J125" s="55" t="s">
        <v>1006</v>
      </c>
      <c r="K125" s="56">
        <v>2</v>
      </c>
      <c r="L125" s="56">
        <v>0.75</v>
      </c>
      <c r="M125" s="66" t="s">
        <v>1026</v>
      </c>
      <c r="N125" s="68"/>
      <c r="O125" s="61">
        <v>1.55</v>
      </c>
      <c r="P125" s="62">
        <f t="shared" si="18"/>
        <v>2.3250000000000002</v>
      </c>
    </row>
    <row r="126" spans="2:18" ht="15" customHeight="1" x14ac:dyDescent="0.3">
      <c r="B126" s="56">
        <v>3</v>
      </c>
      <c r="C126" s="53" t="s">
        <v>1059</v>
      </c>
      <c r="D126" s="54" t="s">
        <v>1060</v>
      </c>
      <c r="E126" s="54"/>
      <c r="F126" s="54"/>
      <c r="G126" s="54"/>
      <c r="H126" s="55">
        <v>1358.63</v>
      </c>
      <c r="I126" s="55">
        <v>1366.13</v>
      </c>
      <c r="J126" s="55" t="s">
        <v>1006</v>
      </c>
      <c r="K126" s="56">
        <v>2</v>
      </c>
      <c r="L126" s="56">
        <v>0.75</v>
      </c>
      <c r="M126" s="66" t="s">
        <v>1027</v>
      </c>
      <c r="N126" s="68"/>
      <c r="O126" s="61">
        <v>1.601</v>
      </c>
      <c r="P126" s="62">
        <f t="shared" si="18"/>
        <v>2.4020000000000001</v>
      </c>
    </row>
    <row r="127" spans="2:18" ht="15" customHeight="1" x14ac:dyDescent="0.3">
      <c r="B127" s="56">
        <v>3</v>
      </c>
      <c r="C127" s="53" t="s">
        <v>1059</v>
      </c>
      <c r="D127" s="54" t="s">
        <v>1060</v>
      </c>
      <c r="E127" s="54"/>
      <c r="F127" s="54"/>
      <c r="G127" s="54"/>
      <c r="H127" s="55">
        <v>1358.63</v>
      </c>
      <c r="I127" s="55">
        <v>1366.13</v>
      </c>
      <c r="J127" s="55" t="s">
        <v>1006</v>
      </c>
      <c r="K127" s="56">
        <v>2</v>
      </c>
      <c r="L127" s="56">
        <v>0.75</v>
      </c>
      <c r="M127" s="66" t="s">
        <v>1028</v>
      </c>
      <c r="N127" s="68"/>
      <c r="O127" s="61">
        <v>1.635</v>
      </c>
      <c r="P127" s="62">
        <f t="shared" si="18"/>
        <v>2.4529999999999998</v>
      </c>
    </row>
    <row r="128" spans="2:18" ht="15" customHeight="1" x14ac:dyDescent="0.3">
      <c r="B128" s="56">
        <v>3</v>
      </c>
      <c r="C128" s="53" t="s">
        <v>1059</v>
      </c>
      <c r="D128" s="54" t="s">
        <v>1060</v>
      </c>
      <c r="E128" s="54"/>
      <c r="F128" s="54"/>
      <c r="G128" s="54"/>
      <c r="H128" s="55">
        <v>1358.63</v>
      </c>
      <c r="I128" s="55">
        <v>1366.13</v>
      </c>
      <c r="J128" s="55" t="s">
        <v>1006</v>
      </c>
      <c r="K128" s="56">
        <v>1</v>
      </c>
      <c r="L128" s="56">
        <v>0.75</v>
      </c>
      <c r="M128" s="66" t="s">
        <v>1029</v>
      </c>
      <c r="N128" s="68"/>
      <c r="O128" s="61">
        <v>1.673</v>
      </c>
      <c r="P128" s="62">
        <f t="shared" si="18"/>
        <v>1.2549999999999999</v>
      </c>
    </row>
    <row r="129" spans="2:16" ht="15" customHeight="1" x14ac:dyDescent="0.3">
      <c r="B129" s="118">
        <v>3</v>
      </c>
      <c r="C129" s="119" t="s">
        <v>1059</v>
      </c>
      <c r="D129" s="120" t="s">
        <v>1060</v>
      </c>
      <c r="E129" s="120"/>
      <c r="F129" s="120"/>
      <c r="G129" s="120"/>
      <c r="H129" s="121">
        <v>1358.63</v>
      </c>
      <c r="I129" s="121">
        <v>1366.13</v>
      </c>
      <c r="J129" s="121" t="s">
        <v>1006</v>
      </c>
      <c r="K129" s="118">
        <v>1</v>
      </c>
      <c r="L129" s="118">
        <v>0.75</v>
      </c>
      <c r="M129" s="122" t="s">
        <v>1025</v>
      </c>
      <c r="N129" s="123"/>
      <c r="O129" s="124">
        <v>1.72</v>
      </c>
      <c r="P129" s="125">
        <f t="shared" si="18"/>
        <v>1.29</v>
      </c>
    </row>
    <row r="130" spans="2:16" ht="15" customHeight="1" x14ac:dyDescent="0.3">
      <c r="B130" s="104">
        <v>3</v>
      </c>
      <c r="C130" s="105" t="s">
        <v>1063</v>
      </c>
      <c r="D130" s="106" t="s">
        <v>1064</v>
      </c>
      <c r="E130" s="106"/>
      <c r="F130" s="106"/>
      <c r="G130" s="106"/>
      <c r="H130" s="107">
        <v>1366.13</v>
      </c>
      <c r="I130" s="107">
        <v>1384.88</v>
      </c>
      <c r="J130" s="107" t="s">
        <v>1006</v>
      </c>
      <c r="K130" s="104">
        <v>4</v>
      </c>
      <c r="L130" s="104">
        <v>0.75</v>
      </c>
      <c r="M130" s="116" t="s">
        <v>1024</v>
      </c>
      <c r="N130" s="117"/>
      <c r="O130" s="110">
        <v>1.484</v>
      </c>
      <c r="P130" s="111">
        <f t="shared" si="18"/>
        <v>4.452</v>
      </c>
    </row>
    <row r="131" spans="2:16" ht="15" customHeight="1" x14ac:dyDescent="0.3">
      <c r="B131" s="56">
        <v>3</v>
      </c>
      <c r="C131" s="53" t="s">
        <v>1063</v>
      </c>
      <c r="D131" s="54" t="s">
        <v>1064</v>
      </c>
      <c r="E131" s="54"/>
      <c r="F131" s="54"/>
      <c r="G131" s="54"/>
      <c r="H131" s="55">
        <v>1366.13</v>
      </c>
      <c r="I131" s="55">
        <v>1384.88</v>
      </c>
      <c r="J131" s="55" t="s">
        <v>1006</v>
      </c>
      <c r="K131" s="56">
        <v>4</v>
      </c>
      <c r="L131" s="56">
        <v>0.75</v>
      </c>
      <c r="M131" s="66" t="s">
        <v>1026</v>
      </c>
      <c r="N131" s="68"/>
      <c r="O131" s="61">
        <v>1.55</v>
      </c>
      <c r="P131" s="62">
        <f t="shared" si="18"/>
        <v>4.6500000000000004</v>
      </c>
    </row>
    <row r="132" spans="2:16" ht="15" customHeight="1" x14ac:dyDescent="0.3">
      <c r="B132" s="56">
        <v>3</v>
      </c>
      <c r="C132" s="53" t="s">
        <v>1063</v>
      </c>
      <c r="D132" s="54" t="s">
        <v>1064</v>
      </c>
      <c r="E132" s="54"/>
      <c r="F132" s="54"/>
      <c r="G132" s="54"/>
      <c r="H132" s="55">
        <v>1366.13</v>
      </c>
      <c r="I132" s="55">
        <v>1384.88</v>
      </c>
      <c r="J132" s="55" t="s">
        <v>1006</v>
      </c>
      <c r="K132" s="56">
        <v>4</v>
      </c>
      <c r="L132" s="56">
        <v>0.75</v>
      </c>
      <c r="M132" s="66" t="s">
        <v>1027</v>
      </c>
      <c r="N132" s="68"/>
      <c r="O132" s="61">
        <v>1.601</v>
      </c>
      <c r="P132" s="62">
        <f t="shared" si="18"/>
        <v>4.8029999999999999</v>
      </c>
    </row>
    <row r="133" spans="2:16" ht="15" customHeight="1" x14ac:dyDescent="0.3">
      <c r="B133" s="56">
        <v>3</v>
      </c>
      <c r="C133" s="53" t="s">
        <v>1063</v>
      </c>
      <c r="D133" s="54" t="s">
        <v>1064</v>
      </c>
      <c r="E133" s="54"/>
      <c r="F133" s="54"/>
      <c r="G133" s="54"/>
      <c r="H133" s="55">
        <v>1366.13</v>
      </c>
      <c r="I133" s="55">
        <v>1384.88</v>
      </c>
      <c r="J133" s="55" t="s">
        <v>1006</v>
      </c>
      <c r="K133" s="56">
        <v>4</v>
      </c>
      <c r="L133" s="56">
        <v>0.75</v>
      </c>
      <c r="M133" s="66" t="s">
        <v>1028</v>
      </c>
      <c r="N133" s="68"/>
      <c r="O133" s="61">
        <v>1.635</v>
      </c>
      <c r="P133" s="62">
        <f t="shared" si="18"/>
        <v>4.9050000000000002</v>
      </c>
    </row>
    <row r="134" spans="2:16" ht="15" customHeight="1" x14ac:dyDescent="0.3">
      <c r="B134" s="56">
        <v>3</v>
      </c>
      <c r="C134" s="53" t="s">
        <v>1063</v>
      </c>
      <c r="D134" s="54" t="s">
        <v>1064</v>
      </c>
      <c r="E134" s="54"/>
      <c r="F134" s="54"/>
      <c r="G134" s="54"/>
      <c r="H134" s="55">
        <v>1366.13</v>
      </c>
      <c r="I134" s="55">
        <v>1384.88</v>
      </c>
      <c r="J134" s="55" t="s">
        <v>1006</v>
      </c>
      <c r="K134" s="56">
        <v>5</v>
      </c>
      <c r="L134" s="56">
        <v>0.75</v>
      </c>
      <c r="M134" s="66" t="s">
        <v>1029</v>
      </c>
      <c r="N134" s="68"/>
      <c r="O134" s="61">
        <v>1.673</v>
      </c>
      <c r="P134" s="62">
        <f t="shared" si="18"/>
        <v>6.274</v>
      </c>
    </row>
    <row r="135" spans="2:16" ht="15" customHeight="1" x14ac:dyDescent="0.3">
      <c r="B135" s="118">
        <v>3</v>
      </c>
      <c r="C135" s="119" t="s">
        <v>1063</v>
      </c>
      <c r="D135" s="120" t="s">
        <v>1064</v>
      </c>
      <c r="E135" s="120"/>
      <c r="F135" s="120"/>
      <c r="G135" s="120"/>
      <c r="H135" s="121">
        <v>1366.13</v>
      </c>
      <c r="I135" s="121">
        <v>1384.88</v>
      </c>
      <c r="J135" s="121" t="s">
        <v>1006</v>
      </c>
      <c r="K135" s="118">
        <v>4</v>
      </c>
      <c r="L135" s="118">
        <v>0.75</v>
      </c>
      <c r="M135" s="122" t="s">
        <v>1025</v>
      </c>
      <c r="N135" s="123"/>
      <c r="O135" s="124">
        <v>1.72</v>
      </c>
      <c r="P135" s="125">
        <f t="shared" si="18"/>
        <v>5.16</v>
      </c>
    </row>
    <row r="136" spans="2:16" ht="15" customHeight="1" x14ac:dyDescent="0.3">
      <c r="B136" s="104">
        <v>3</v>
      </c>
      <c r="C136" s="105" t="s">
        <v>1075</v>
      </c>
      <c r="D136" s="106" t="s">
        <v>1076</v>
      </c>
      <c r="E136" s="106"/>
      <c r="F136" s="106"/>
      <c r="G136" s="106"/>
      <c r="H136" s="107">
        <v>1384.88</v>
      </c>
      <c r="I136" s="107">
        <v>1398.38</v>
      </c>
      <c r="J136" s="107" t="s">
        <v>1006</v>
      </c>
      <c r="K136" s="104">
        <v>3</v>
      </c>
      <c r="L136" s="104">
        <v>0.75</v>
      </c>
      <c r="M136" s="116" t="s">
        <v>1024</v>
      </c>
      <c r="N136" s="117"/>
      <c r="O136" s="110">
        <v>1.484</v>
      </c>
      <c r="P136" s="111">
        <f t="shared" si="18"/>
        <v>3.339</v>
      </c>
    </row>
    <row r="137" spans="2:16" ht="15" customHeight="1" x14ac:dyDescent="0.3">
      <c r="B137" s="56">
        <v>3</v>
      </c>
      <c r="C137" s="53" t="s">
        <v>1075</v>
      </c>
      <c r="D137" s="54" t="s">
        <v>1076</v>
      </c>
      <c r="E137" s="54"/>
      <c r="F137" s="54"/>
      <c r="G137" s="54"/>
      <c r="H137" s="55">
        <v>1384.88</v>
      </c>
      <c r="I137" s="55">
        <v>1398.38</v>
      </c>
      <c r="J137" s="55" t="s">
        <v>1006</v>
      </c>
      <c r="K137" s="56">
        <v>3</v>
      </c>
      <c r="L137" s="56">
        <v>0.75</v>
      </c>
      <c r="M137" s="66" t="s">
        <v>1026</v>
      </c>
      <c r="N137" s="68"/>
      <c r="O137" s="61">
        <v>1.55</v>
      </c>
      <c r="P137" s="62">
        <f t="shared" si="18"/>
        <v>3.488</v>
      </c>
    </row>
    <row r="138" spans="2:16" ht="15" customHeight="1" x14ac:dyDescent="0.3">
      <c r="B138" s="56">
        <v>3</v>
      </c>
      <c r="C138" s="53" t="s">
        <v>1075</v>
      </c>
      <c r="D138" s="54" t="s">
        <v>1076</v>
      </c>
      <c r="E138" s="54"/>
      <c r="F138" s="54"/>
      <c r="G138" s="54"/>
      <c r="H138" s="55">
        <v>1384.88</v>
      </c>
      <c r="I138" s="55">
        <v>1398.38</v>
      </c>
      <c r="J138" s="55" t="s">
        <v>1006</v>
      </c>
      <c r="K138" s="56">
        <v>3</v>
      </c>
      <c r="L138" s="56">
        <v>0.75</v>
      </c>
      <c r="M138" s="66" t="s">
        <v>1027</v>
      </c>
      <c r="N138" s="68"/>
      <c r="O138" s="61">
        <v>1.601</v>
      </c>
      <c r="P138" s="62">
        <f t="shared" si="18"/>
        <v>3.6019999999999999</v>
      </c>
    </row>
    <row r="139" spans="2:16" ht="15" customHeight="1" x14ac:dyDescent="0.3">
      <c r="B139" s="56">
        <v>3</v>
      </c>
      <c r="C139" s="53" t="s">
        <v>1075</v>
      </c>
      <c r="D139" s="54" t="s">
        <v>1076</v>
      </c>
      <c r="E139" s="54"/>
      <c r="F139" s="54"/>
      <c r="G139" s="54"/>
      <c r="H139" s="55">
        <v>1384.88</v>
      </c>
      <c r="I139" s="55">
        <v>1398.38</v>
      </c>
      <c r="J139" s="55" t="s">
        <v>1006</v>
      </c>
      <c r="K139" s="56">
        <v>3</v>
      </c>
      <c r="L139" s="56">
        <v>0.75</v>
      </c>
      <c r="M139" s="66" t="s">
        <v>1028</v>
      </c>
      <c r="N139" s="68"/>
      <c r="O139" s="61">
        <v>1.635</v>
      </c>
      <c r="P139" s="62">
        <f t="shared" si="18"/>
        <v>3.6789999999999998</v>
      </c>
    </row>
    <row r="140" spans="2:16" ht="15" customHeight="1" x14ac:dyDescent="0.3">
      <c r="B140" s="56">
        <v>3</v>
      </c>
      <c r="C140" s="53" t="s">
        <v>1075</v>
      </c>
      <c r="D140" s="54" t="s">
        <v>1076</v>
      </c>
      <c r="E140" s="54"/>
      <c r="F140" s="54"/>
      <c r="G140" s="54"/>
      <c r="H140" s="55">
        <v>1384.88</v>
      </c>
      <c r="I140" s="55">
        <v>1398.38</v>
      </c>
      <c r="J140" s="55" t="s">
        <v>1006</v>
      </c>
      <c r="K140" s="56">
        <v>3</v>
      </c>
      <c r="L140" s="56">
        <v>0.75</v>
      </c>
      <c r="M140" s="66" t="s">
        <v>1029</v>
      </c>
      <c r="N140" s="68"/>
      <c r="O140" s="61">
        <v>1.673</v>
      </c>
      <c r="P140" s="62">
        <f t="shared" si="18"/>
        <v>3.7639999999999998</v>
      </c>
    </row>
    <row r="141" spans="2:16" ht="15" customHeight="1" x14ac:dyDescent="0.3">
      <c r="B141" s="118">
        <v>3</v>
      </c>
      <c r="C141" s="119" t="s">
        <v>1075</v>
      </c>
      <c r="D141" s="120" t="s">
        <v>1076</v>
      </c>
      <c r="E141" s="120"/>
      <c r="F141" s="120"/>
      <c r="G141" s="120"/>
      <c r="H141" s="121">
        <v>1384.88</v>
      </c>
      <c r="I141" s="121">
        <v>1398.38</v>
      </c>
      <c r="J141" s="121" t="s">
        <v>1006</v>
      </c>
      <c r="K141" s="118">
        <v>3</v>
      </c>
      <c r="L141" s="118">
        <v>0.75</v>
      </c>
      <c r="M141" s="122" t="s">
        <v>1025</v>
      </c>
      <c r="N141" s="123"/>
      <c r="O141" s="124">
        <v>1.72</v>
      </c>
      <c r="P141" s="125">
        <f t="shared" si="18"/>
        <v>3.87</v>
      </c>
    </row>
    <row r="142" spans="2:16" ht="15" customHeight="1" x14ac:dyDescent="0.3">
      <c r="B142" s="96">
        <v>4</v>
      </c>
      <c r="C142" s="97" t="s">
        <v>1081</v>
      </c>
      <c r="D142" s="98" t="s">
        <v>1082</v>
      </c>
      <c r="E142" s="98"/>
      <c r="F142" s="98"/>
      <c r="G142" s="98"/>
      <c r="H142" s="99">
        <v>1398.38</v>
      </c>
      <c r="I142" s="99">
        <v>1404.56</v>
      </c>
      <c r="J142" s="99" t="s">
        <v>1006</v>
      </c>
      <c r="K142" s="96">
        <v>1</v>
      </c>
      <c r="L142" s="96">
        <v>0.75</v>
      </c>
      <c r="M142" s="114" t="s">
        <v>1024</v>
      </c>
      <c r="N142" s="115"/>
      <c r="O142" s="102">
        <v>1.484</v>
      </c>
      <c r="P142" s="103">
        <f t="shared" si="18"/>
        <v>1.113</v>
      </c>
    </row>
    <row r="143" spans="2:16" ht="15" customHeight="1" x14ac:dyDescent="0.3">
      <c r="B143" s="56">
        <v>4</v>
      </c>
      <c r="C143" s="53" t="s">
        <v>1081</v>
      </c>
      <c r="D143" s="54" t="s">
        <v>1082</v>
      </c>
      <c r="E143" s="54"/>
      <c r="F143" s="54"/>
      <c r="G143" s="54"/>
      <c r="H143" s="55">
        <v>1398.38</v>
      </c>
      <c r="I143" s="55">
        <v>1404.56</v>
      </c>
      <c r="J143" s="55" t="s">
        <v>1006</v>
      </c>
      <c r="K143" s="56">
        <v>1</v>
      </c>
      <c r="L143" s="56">
        <v>0.75</v>
      </c>
      <c r="M143" s="66" t="s">
        <v>1026</v>
      </c>
      <c r="N143" s="68"/>
      <c r="O143" s="61">
        <v>1.55</v>
      </c>
      <c r="P143" s="62">
        <f t="shared" si="18"/>
        <v>1.163</v>
      </c>
    </row>
    <row r="144" spans="2:16" ht="15" customHeight="1" x14ac:dyDescent="0.3">
      <c r="B144" s="56">
        <v>4</v>
      </c>
      <c r="C144" s="53" t="s">
        <v>1081</v>
      </c>
      <c r="D144" s="54" t="s">
        <v>1082</v>
      </c>
      <c r="E144" s="54"/>
      <c r="F144" s="54"/>
      <c r="G144" s="54"/>
      <c r="H144" s="55">
        <v>1398.38</v>
      </c>
      <c r="I144" s="55">
        <v>1404.56</v>
      </c>
      <c r="J144" s="55" t="s">
        <v>1006</v>
      </c>
      <c r="K144" s="56">
        <v>1</v>
      </c>
      <c r="L144" s="56">
        <v>0.75</v>
      </c>
      <c r="M144" s="66" t="s">
        <v>1027</v>
      </c>
      <c r="N144" s="68"/>
      <c r="O144" s="61">
        <v>1.601</v>
      </c>
      <c r="P144" s="62">
        <f t="shared" si="18"/>
        <v>1.2010000000000001</v>
      </c>
    </row>
    <row r="145" spans="2:16" ht="15" customHeight="1" x14ac:dyDescent="0.3">
      <c r="B145" s="56">
        <v>4</v>
      </c>
      <c r="C145" s="53" t="s">
        <v>1081</v>
      </c>
      <c r="D145" s="54" t="s">
        <v>1082</v>
      </c>
      <c r="E145" s="54"/>
      <c r="F145" s="54"/>
      <c r="G145" s="54"/>
      <c r="H145" s="55">
        <v>1398.38</v>
      </c>
      <c r="I145" s="55">
        <v>1404.56</v>
      </c>
      <c r="J145" s="55" t="s">
        <v>1006</v>
      </c>
      <c r="K145" s="56">
        <v>1</v>
      </c>
      <c r="L145" s="56">
        <v>0.75</v>
      </c>
      <c r="M145" s="66" t="s">
        <v>1028</v>
      </c>
      <c r="N145" s="68"/>
      <c r="O145" s="61">
        <v>1.635</v>
      </c>
      <c r="P145" s="62">
        <f t="shared" si="18"/>
        <v>1.226</v>
      </c>
    </row>
    <row r="146" spans="2:16" ht="15" customHeight="1" x14ac:dyDescent="0.3">
      <c r="B146" s="56">
        <v>4</v>
      </c>
      <c r="C146" s="53" t="s">
        <v>1081</v>
      </c>
      <c r="D146" s="54" t="s">
        <v>1082</v>
      </c>
      <c r="E146" s="54"/>
      <c r="F146" s="54"/>
      <c r="G146" s="54"/>
      <c r="H146" s="55">
        <v>1398.38</v>
      </c>
      <c r="I146" s="55">
        <v>1404.56</v>
      </c>
      <c r="J146" s="55" t="s">
        <v>1006</v>
      </c>
      <c r="K146" s="56">
        <v>1</v>
      </c>
      <c r="L146" s="56">
        <v>0.75</v>
      </c>
      <c r="M146" s="66" t="s">
        <v>1029</v>
      </c>
      <c r="N146" s="68"/>
      <c r="O146" s="61">
        <v>1.673</v>
      </c>
      <c r="P146" s="62">
        <f t="shared" si="18"/>
        <v>1.2549999999999999</v>
      </c>
    </row>
    <row r="147" spans="2:16" ht="15" customHeight="1" x14ac:dyDescent="0.3">
      <c r="B147" s="56">
        <v>4</v>
      </c>
      <c r="C147" s="53" t="s">
        <v>1081</v>
      </c>
      <c r="D147" s="54" t="s">
        <v>1082</v>
      </c>
      <c r="E147" s="54"/>
      <c r="F147" s="54"/>
      <c r="G147" s="54"/>
      <c r="H147" s="55">
        <v>1398.38</v>
      </c>
      <c r="I147" s="55">
        <v>1404.56</v>
      </c>
      <c r="J147" s="55" t="s">
        <v>1006</v>
      </c>
      <c r="K147" s="56">
        <v>2</v>
      </c>
      <c r="L147" s="56">
        <v>0.75</v>
      </c>
      <c r="M147" s="66" t="s">
        <v>1025</v>
      </c>
      <c r="N147" s="90"/>
      <c r="O147" s="61">
        <v>1.72</v>
      </c>
      <c r="P147" s="62">
        <f t="shared" si="18"/>
        <v>2.58</v>
      </c>
    </row>
    <row r="148" spans="2:16" ht="15" customHeight="1" x14ac:dyDescent="0.3">
      <c r="B148" s="56">
        <v>4</v>
      </c>
      <c r="C148" s="53" t="s">
        <v>1081</v>
      </c>
      <c r="D148" s="54" t="s">
        <v>1082</v>
      </c>
      <c r="E148" s="54"/>
      <c r="F148" s="54"/>
      <c r="G148" s="54"/>
      <c r="H148" s="55">
        <v>1398.38</v>
      </c>
      <c r="I148" s="55">
        <v>1404.56</v>
      </c>
      <c r="J148" s="55" t="s">
        <v>1006</v>
      </c>
      <c r="K148" s="56">
        <v>1</v>
      </c>
      <c r="L148" s="56">
        <v>0.93</v>
      </c>
      <c r="M148" s="66" t="s">
        <v>1025</v>
      </c>
      <c r="N148" s="90"/>
      <c r="O148" s="70">
        <v>1.72</v>
      </c>
      <c r="P148" s="88">
        <f t="shared" si="18"/>
        <v>1.6</v>
      </c>
    </row>
    <row r="149" spans="2:16" ht="15" customHeight="1" x14ac:dyDescent="0.3">
      <c r="B149" s="51" t="s">
        <v>1097</v>
      </c>
      <c r="C149" s="78"/>
      <c r="D149" s="45"/>
      <c r="E149" s="45"/>
      <c r="F149" s="45"/>
      <c r="G149" s="45"/>
      <c r="H149" s="46"/>
      <c r="I149" s="46"/>
      <c r="J149" s="46"/>
      <c r="K149" s="47"/>
      <c r="L149" s="47"/>
      <c r="M149" s="48"/>
      <c r="N149" s="48"/>
      <c r="O149" s="49"/>
      <c r="P149" s="50"/>
    </row>
    <row r="150" spans="2:16" ht="15" customHeight="1" x14ac:dyDescent="0.3">
      <c r="B150" s="93" t="s">
        <v>981</v>
      </c>
      <c r="C150" s="93" t="s">
        <v>991</v>
      </c>
      <c r="D150" s="94" t="s">
        <v>997</v>
      </c>
      <c r="E150" s="94"/>
      <c r="F150" s="94"/>
      <c r="G150" s="94"/>
      <c r="H150" s="126"/>
      <c r="I150" s="93" t="s">
        <v>998</v>
      </c>
      <c r="J150" s="93" t="s">
        <v>992</v>
      </c>
      <c r="K150" s="93" t="s">
        <v>989</v>
      </c>
      <c r="L150" s="93" t="s">
        <v>984</v>
      </c>
      <c r="M150" s="95" t="s">
        <v>985</v>
      </c>
      <c r="N150" s="93" t="s">
        <v>986</v>
      </c>
      <c r="O150" s="95" t="s">
        <v>983</v>
      </c>
      <c r="P150" s="95" t="s">
        <v>14</v>
      </c>
    </row>
    <row r="151" spans="2:16" ht="15" customHeight="1" x14ac:dyDescent="0.3">
      <c r="B151" s="104">
        <v>3</v>
      </c>
      <c r="C151" s="105" t="s">
        <v>1059</v>
      </c>
      <c r="D151" s="106" t="s">
        <v>996</v>
      </c>
      <c r="E151" s="106"/>
      <c r="F151" s="106"/>
      <c r="G151" s="106"/>
      <c r="H151" s="130"/>
      <c r="I151" s="131">
        <v>5</v>
      </c>
      <c r="J151" s="107" t="s">
        <v>993</v>
      </c>
      <c r="K151" s="104">
        <v>3</v>
      </c>
      <c r="L151" s="104"/>
      <c r="M151" s="132">
        <f t="shared" ref="M151:M176" si="19">+I151/100</f>
        <v>0.05</v>
      </c>
      <c r="N151" s="132"/>
      <c r="O151" s="110">
        <v>33.408000000000001</v>
      </c>
      <c r="P151" s="111">
        <f t="shared" ref="P151:P178" si="20">+ROUND(PRODUCT(K151:O151),3)</f>
        <v>5.0110000000000001</v>
      </c>
    </row>
    <row r="152" spans="2:16" ht="15" customHeight="1" x14ac:dyDescent="0.3">
      <c r="B152" s="56">
        <v>3</v>
      </c>
      <c r="C152" s="53" t="s">
        <v>1059</v>
      </c>
      <c r="D152" s="54" t="s">
        <v>999</v>
      </c>
      <c r="E152" s="54"/>
      <c r="F152" s="54"/>
      <c r="G152" s="54"/>
      <c r="H152" s="59"/>
      <c r="I152" s="58">
        <v>5</v>
      </c>
      <c r="J152" s="55" t="s">
        <v>993</v>
      </c>
      <c r="K152" s="56">
        <v>3</v>
      </c>
      <c r="L152" s="56"/>
      <c r="M152" s="57">
        <f t="shared" si="19"/>
        <v>0.05</v>
      </c>
      <c r="N152" s="57"/>
      <c r="O152" s="61">
        <v>35.640999999999998</v>
      </c>
      <c r="P152" s="62">
        <f t="shared" si="20"/>
        <v>5.3460000000000001</v>
      </c>
    </row>
    <row r="153" spans="2:16" ht="15" customHeight="1" x14ac:dyDescent="0.3">
      <c r="B153" s="56">
        <v>3</v>
      </c>
      <c r="C153" s="53" t="s">
        <v>1059</v>
      </c>
      <c r="D153" s="54" t="s">
        <v>1000</v>
      </c>
      <c r="E153" s="54"/>
      <c r="F153" s="54"/>
      <c r="G153" s="54"/>
      <c r="H153" s="59"/>
      <c r="I153" s="58">
        <v>5</v>
      </c>
      <c r="J153" s="55" t="s">
        <v>993</v>
      </c>
      <c r="K153" s="56">
        <v>3</v>
      </c>
      <c r="L153" s="56"/>
      <c r="M153" s="57">
        <f t="shared" si="19"/>
        <v>0.05</v>
      </c>
      <c r="N153" s="57"/>
      <c r="O153" s="61">
        <v>37.960999999999999</v>
      </c>
      <c r="P153" s="62">
        <f t="shared" si="20"/>
        <v>5.694</v>
      </c>
    </row>
    <row r="154" spans="2:16" ht="15" customHeight="1" x14ac:dyDescent="0.3">
      <c r="B154" s="56">
        <v>3</v>
      </c>
      <c r="C154" s="53" t="s">
        <v>1059</v>
      </c>
      <c r="D154" s="54" t="s">
        <v>1001</v>
      </c>
      <c r="E154" s="54"/>
      <c r="F154" s="54"/>
      <c r="G154" s="54"/>
      <c r="H154" s="59"/>
      <c r="I154" s="58">
        <v>10</v>
      </c>
      <c r="J154" s="55" t="s">
        <v>993</v>
      </c>
      <c r="K154" s="56">
        <v>3</v>
      </c>
      <c r="L154" s="56"/>
      <c r="M154" s="57">
        <f t="shared" si="19"/>
        <v>0.1</v>
      </c>
      <c r="N154" s="57"/>
      <c r="O154" s="61">
        <v>10</v>
      </c>
      <c r="P154" s="62">
        <f t="shared" si="20"/>
        <v>3</v>
      </c>
    </row>
    <row r="155" spans="2:16" ht="15" customHeight="1" x14ac:dyDescent="0.3">
      <c r="B155" s="56">
        <v>3</v>
      </c>
      <c r="C155" s="53" t="s">
        <v>1059</v>
      </c>
      <c r="D155" s="54" t="s">
        <v>1002</v>
      </c>
      <c r="E155" s="54"/>
      <c r="F155" s="54"/>
      <c r="G155" s="54"/>
      <c r="H155" s="59"/>
      <c r="I155" s="58">
        <v>5</v>
      </c>
      <c r="J155" s="55" t="s">
        <v>993</v>
      </c>
      <c r="K155" s="56">
        <v>3</v>
      </c>
      <c r="L155" s="56"/>
      <c r="M155" s="57">
        <f t="shared" si="19"/>
        <v>0.05</v>
      </c>
      <c r="N155" s="57"/>
      <c r="O155" s="61">
        <v>40.220999999999997</v>
      </c>
      <c r="P155" s="62">
        <f t="shared" si="20"/>
        <v>6.0330000000000004</v>
      </c>
    </row>
    <row r="156" spans="2:16" ht="15" customHeight="1" x14ac:dyDescent="0.3">
      <c r="B156" s="56">
        <v>3</v>
      </c>
      <c r="C156" s="53" t="s">
        <v>1059</v>
      </c>
      <c r="D156" s="54" t="s">
        <v>1003</v>
      </c>
      <c r="E156" s="54"/>
      <c r="F156" s="54"/>
      <c r="G156" s="54"/>
      <c r="H156" s="59"/>
      <c r="I156" s="58">
        <v>5</v>
      </c>
      <c r="J156" s="55" t="s">
        <v>993</v>
      </c>
      <c r="K156" s="56">
        <v>3</v>
      </c>
      <c r="L156" s="56"/>
      <c r="M156" s="57">
        <f t="shared" si="19"/>
        <v>0.05</v>
      </c>
      <c r="N156" s="57"/>
      <c r="O156" s="61">
        <v>42.5</v>
      </c>
      <c r="P156" s="62">
        <f t="shared" si="20"/>
        <v>6.375</v>
      </c>
    </row>
    <row r="157" spans="2:16" ht="15" customHeight="1" x14ac:dyDescent="0.3">
      <c r="B157" s="118">
        <v>3</v>
      </c>
      <c r="C157" s="119" t="s">
        <v>1059</v>
      </c>
      <c r="D157" s="120" t="s">
        <v>1004</v>
      </c>
      <c r="E157" s="120"/>
      <c r="F157" s="120"/>
      <c r="G157" s="120"/>
      <c r="H157" s="133"/>
      <c r="I157" s="134">
        <v>15</v>
      </c>
      <c r="J157" s="121" t="s">
        <v>993</v>
      </c>
      <c r="K157" s="118">
        <v>3</v>
      </c>
      <c r="L157" s="118"/>
      <c r="M157" s="135">
        <f t="shared" si="19"/>
        <v>0.15</v>
      </c>
      <c r="N157" s="135"/>
      <c r="O157" s="124">
        <v>44.921999999999997</v>
      </c>
      <c r="P157" s="125">
        <f t="shared" ref="P157" si="21">+ROUND(PRODUCT(K157:O157),3)</f>
        <v>20.215</v>
      </c>
    </row>
    <row r="158" spans="2:16" ht="15" customHeight="1" x14ac:dyDescent="0.3">
      <c r="B158" s="104">
        <v>3</v>
      </c>
      <c r="C158" s="105" t="s">
        <v>1063</v>
      </c>
      <c r="D158" s="106" t="s">
        <v>996</v>
      </c>
      <c r="E158" s="106"/>
      <c r="F158" s="106"/>
      <c r="G158" s="106"/>
      <c r="H158" s="130"/>
      <c r="I158" s="131">
        <v>5</v>
      </c>
      <c r="J158" s="107" t="s">
        <v>993</v>
      </c>
      <c r="K158" s="104">
        <v>4</v>
      </c>
      <c r="L158" s="104"/>
      <c r="M158" s="132">
        <f t="shared" si="19"/>
        <v>0.05</v>
      </c>
      <c r="N158" s="132"/>
      <c r="O158" s="110">
        <v>33.408000000000001</v>
      </c>
      <c r="P158" s="111">
        <f t="shared" si="20"/>
        <v>6.6820000000000004</v>
      </c>
    </row>
    <row r="159" spans="2:16" ht="15" customHeight="1" x14ac:dyDescent="0.3">
      <c r="B159" s="56">
        <v>3</v>
      </c>
      <c r="C159" s="53" t="s">
        <v>1063</v>
      </c>
      <c r="D159" s="54" t="s">
        <v>999</v>
      </c>
      <c r="E159" s="54"/>
      <c r="F159" s="54"/>
      <c r="G159" s="54"/>
      <c r="H159" s="59"/>
      <c r="I159" s="58">
        <v>5</v>
      </c>
      <c r="J159" s="55" t="s">
        <v>993</v>
      </c>
      <c r="K159" s="56">
        <v>4</v>
      </c>
      <c r="L159" s="56"/>
      <c r="M159" s="57">
        <f t="shared" si="19"/>
        <v>0.05</v>
      </c>
      <c r="N159" s="57"/>
      <c r="O159" s="61">
        <v>35.640999999999998</v>
      </c>
      <c r="P159" s="62">
        <f t="shared" si="20"/>
        <v>7.1280000000000001</v>
      </c>
    </row>
    <row r="160" spans="2:16" ht="15" customHeight="1" x14ac:dyDescent="0.3">
      <c r="B160" s="56">
        <v>3</v>
      </c>
      <c r="C160" s="53" t="s">
        <v>1063</v>
      </c>
      <c r="D160" s="54" t="s">
        <v>1073</v>
      </c>
      <c r="E160" s="54"/>
      <c r="F160" s="54"/>
      <c r="G160" s="54"/>
      <c r="H160" s="59"/>
      <c r="I160" s="58">
        <v>10</v>
      </c>
      <c r="J160" s="55" t="s">
        <v>993</v>
      </c>
      <c r="K160" s="56">
        <v>1</v>
      </c>
      <c r="L160" s="56"/>
      <c r="M160" s="57">
        <f t="shared" si="19"/>
        <v>0.1</v>
      </c>
      <c r="N160" s="57"/>
      <c r="O160" s="70">
        <v>8</v>
      </c>
      <c r="P160" s="62">
        <f t="shared" si="20"/>
        <v>0.8</v>
      </c>
    </row>
    <row r="161" spans="2:16" ht="15" customHeight="1" x14ac:dyDescent="0.3">
      <c r="B161" s="56">
        <v>3</v>
      </c>
      <c r="C161" s="53" t="s">
        <v>1063</v>
      </c>
      <c r="D161" s="54" t="s">
        <v>1065</v>
      </c>
      <c r="E161" s="54"/>
      <c r="F161" s="54"/>
      <c r="G161" s="54"/>
      <c r="H161" s="59"/>
      <c r="I161" s="58">
        <v>10</v>
      </c>
      <c r="J161" s="55" t="s">
        <v>993</v>
      </c>
      <c r="K161" s="56">
        <v>1</v>
      </c>
      <c r="L161" s="56"/>
      <c r="M161" s="57">
        <f t="shared" si="19"/>
        <v>0.1</v>
      </c>
      <c r="N161" s="57"/>
      <c r="O161" s="61">
        <v>10</v>
      </c>
      <c r="P161" s="62">
        <f t="shared" si="20"/>
        <v>1</v>
      </c>
    </row>
    <row r="162" spans="2:16" ht="15" customHeight="1" x14ac:dyDescent="0.3">
      <c r="B162" s="56">
        <v>3</v>
      </c>
      <c r="C162" s="53" t="s">
        <v>1063</v>
      </c>
      <c r="D162" s="54" t="s">
        <v>1000</v>
      </c>
      <c r="E162" s="54"/>
      <c r="F162" s="54"/>
      <c r="G162" s="54"/>
      <c r="H162" s="59"/>
      <c r="I162" s="58">
        <v>5</v>
      </c>
      <c r="J162" s="55" t="s">
        <v>993</v>
      </c>
      <c r="K162" s="56">
        <v>4</v>
      </c>
      <c r="L162" s="56"/>
      <c r="M162" s="57">
        <f t="shared" si="19"/>
        <v>0.05</v>
      </c>
      <c r="N162" s="57"/>
      <c r="O162" s="61">
        <v>37.960999999999999</v>
      </c>
      <c r="P162" s="62">
        <f t="shared" si="20"/>
        <v>7.5919999999999996</v>
      </c>
    </row>
    <row r="163" spans="2:16" ht="15" customHeight="1" x14ac:dyDescent="0.3">
      <c r="B163" s="56">
        <v>3</v>
      </c>
      <c r="C163" s="53" t="s">
        <v>1063</v>
      </c>
      <c r="D163" s="54" t="s">
        <v>1001</v>
      </c>
      <c r="E163" s="54"/>
      <c r="F163" s="54"/>
      <c r="G163" s="54"/>
      <c r="H163" s="59"/>
      <c r="I163" s="58">
        <v>10</v>
      </c>
      <c r="J163" s="55" t="s">
        <v>993</v>
      </c>
      <c r="K163" s="56">
        <v>1</v>
      </c>
      <c r="L163" s="56"/>
      <c r="M163" s="57">
        <f t="shared" si="19"/>
        <v>0.1</v>
      </c>
      <c r="N163" s="57"/>
      <c r="O163" s="61">
        <v>10</v>
      </c>
      <c r="P163" s="62">
        <f t="shared" si="20"/>
        <v>1</v>
      </c>
    </row>
    <row r="164" spans="2:16" ht="15" customHeight="1" x14ac:dyDescent="0.3">
      <c r="B164" s="56">
        <v>3</v>
      </c>
      <c r="C164" s="53" t="s">
        <v>1063</v>
      </c>
      <c r="D164" s="54" t="s">
        <v>1002</v>
      </c>
      <c r="E164" s="54"/>
      <c r="F164" s="54"/>
      <c r="G164" s="54"/>
      <c r="H164" s="59"/>
      <c r="I164" s="58">
        <v>5</v>
      </c>
      <c r="J164" s="55" t="s">
        <v>993</v>
      </c>
      <c r="K164" s="56">
        <v>4</v>
      </c>
      <c r="L164" s="56"/>
      <c r="M164" s="57">
        <f t="shared" si="19"/>
        <v>0.05</v>
      </c>
      <c r="N164" s="57"/>
      <c r="O164" s="61">
        <v>40.220999999999997</v>
      </c>
      <c r="P164" s="62">
        <f t="shared" si="20"/>
        <v>8.0440000000000005</v>
      </c>
    </row>
    <row r="165" spans="2:16" ht="15" customHeight="1" x14ac:dyDescent="0.3">
      <c r="B165" s="56">
        <v>3</v>
      </c>
      <c r="C165" s="53" t="s">
        <v>1063</v>
      </c>
      <c r="D165" s="54" t="s">
        <v>1066</v>
      </c>
      <c r="E165" s="54"/>
      <c r="F165" s="54"/>
      <c r="G165" s="54"/>
      <c r="H165" s="59"/>
      <c r="I165" s="58">
        <v>10</v>
      </c>
      <c r="J165" s="55" t="s">
        <v>993</v>
      </c>
      <c r="K165" s="56">
        <v>2</v>
      </c>
      <c r="L165" s="56"/>
      <c r="M165" s="57">
        <f t="shared" si="19"/>
        <v>0.1</v>
      </c>
      <c r="N165" s="57"/>
      <c r="O165" s="61">
        <v>8</v>
      </c>
      <c r="P165" s="62">
        <f t="shared" si="20"/>
        <v>1.6</v>
      </c>
    </row>
    <row r="166" spans="2:16" ht="15" customHeight="1" x14ac:dyDescent="0.3">
      <c r="B166" s="56">
        <v>3</v>
      </c>
      <c r="C166" s="53" t="s">
        <v>1063</v>
      </c>
      <c r="D166" s="54" t="s">
        <v>1067</v>
      </c>
      <c r="E166" s="54"/>
      <c r="F166" s="54"/>
      <c r="G166" s="54"/>
      <c r="H166" s="59"/>
      <c r="I166" s="58">
        <v>10</v>
      </c>
      <c r="J166" s="55" t="s">
        <v>993</v>
      </c>
      <c r="K166" s="56">
        <v>1</v>
      </c>
      <c r="L166" s="56"/>
      <c r="M166" s="57">
        <f t="shared" si="19"/>
        <v>0.1</v>
      </c>
      <c r="N166" s="57"/>
      <c r="O166" s="61">
        <v>10</v>
      </c>
      <c r="P166" s="62">
        <f t="shared" si="20"/>
        <v>1</v>
      </c>
    </row>
    <row r="167" spans="2:16" ht="15" customHeight="1" x14ac:dyDescent="0.3">
      <c r="B167" s="56">
        <v>3</v>
      </c>
      <c r="C167" s="53" t="s">
        <v>1063</v>
      </c>
      <c r="D167" s="54" t="s">
        <v>1003</v>
      </c>
      <c r="E167" s="54"/>
      <c r="F167" s="54"/>
      <c r="G167" s="54"/>
      <c r="H167" s="59"/>
      <c r="I167" s="58">
        <v>5</v>
      </c>
      <c r="J167" s="55" t="s">
        <v>993</v>
      </c>
      <c r="K167" s="56">
        <v>4</v>
      </c>
      <c r="L167" s="56"/>
      <c r="M167" s="57">
        <f t="shared" si="19"/>
        <v>0.05</v>
      </c>
      <c r="N167" s="57"/>
      <c r="O167" s="61">
        <v>42.5</v>
      </c>
      <c r="P167" s="62">
        <f t="shared" si="20"/>
        <v>8.5</v>
      </c>
    </row>
    <row r="168" spans="2:16" ht="15" customHeight="1" x14ac:dyDescent="0.3">
      <c r="B168" s="118">
        <v>3</v>
      </c>
      <c r="C168" s="119" t="s">
        <v>1063</v>
      </c>
      <c r="D168" s="120" t="s">
        <v>1004</v>
      </c>
      <c r="E168" s="120"/>
      <c r="F168" s="120"/>
      <c r="G168" s="120"/>
      <c r="H168" s="133"/>
      <c r="I168" s="134">
        <v>15</v>
      </c>
      <c r="J168" s="121" t="s">
        <v>993</v>
      </c>
      <c r="K168" s="118">
        <v>4</v>
      </c>
      <c r="L168" s="118"/>
      <c r="M168" s="135">
        <f t="shared" si="19"/>
        <v>0.15</v>
      </c>
      <c r="N168" s="135"/>
      <c r="O168" s="124">
        <v>44.921999999999997</v>
      </c>
      <c r="P168" s="125">
        <f t="shared" si="20"/>
        <v>26.952999999999999</v>
      </c>
    </row>
    <row r="169" spans="2:16" ht="15" customHeight="1" x14ac:dyDescent="0.3">
      <c r="B169" s="104">
        <v>3</v>
      </c>
      <c r="C169" s="105" t="s">
        <v>1075</v>
      </c>
      <c r="D169" s="106" t="s">
        <v>996</v>
      </c>
      <c r="E169" s="106"/>
      <c r="F169" s="106"/>
      <c r="G169" s="106"/>
      <c r="H169" s="130"/>
      <c r="I169" s="131">
        <v>5</v>
      </c>
      <c r="J169" s="107" t="s">
        <v>993</v>
      </c>
      <c r="K169" s="104">
        <v>3</v>
      </c>
      <c r="L169" s="104"/>
      <c r="M169" s="132">
        <f t="shared" si="19"/>
        <v>0.05</v>
      </c>
      <c r="N169" s="132"/>
      <c r="O169" s="110">
        <v>33.408000000000001</v>
      </c>
      <c r="P169" s="111">
        <f t="shared" si="20"/>
        <v>5.0110000000000001</v>
      </c>
    </row>
    <row r="170" spans="2:16" ht="15" customHeight="1" x14ac:dyDescent="0.3">
      <c r="B170" s="56">
        <v>3</v>
      </c>
      <c r="C170" s="53" t="s">
        <v>1075</v>
      </c>
      <c r="D170" s="54" t="s">
        <v>999</v>
      </c>
      <c r="E170" s="54"/>
      <c r="F170" s="54"/>
      <c r="G170" s="54"/>
      <c r="H170" s="59"/>
      <c r="I170" s="58">
        <v>5</v>
      </c>
      <c r="J170" s="55" t="s">
        <v>993</v>
      </c>
      <c r="K170" s="56">
        <v>3</v>
      </c>
      <c r="L170" s="56"/>
      <c r="M170" s="57">
        <f t="shared" si="19"/>
        <v>0.05</v>
      </c>
      <c r="N170" s="57"/>
      <c r="O170" s="61">
        <v>35.640999999999998</v>
      </c>
      <c r="P170" s="62">
        <f t="shared" si="20"/>
        <v>5.3460000000000001</v>
      </c>
    </row>
    <row r="171" spans="2:16" ht="15" customHeight="1" x14ac:dyDescent="0.3">
      <c r="B171" s="56">
        <v>3</v>
      </c>
      <c r="C171" s="53" t="s">
        <v>1075</v>
      </c>
      <c r="D171" s="54" t="s">
        <v>1073</v>
      </c>
      <c r="E171" s="54"/>
      <c r="F171" s="54"/>
      <c r="G171" s="54"/>
      <c r="H171" s="59"/>
      <c r="I171" s="58">
        <v>10</v>
      </c>
      <c r="J171" s="55" t="s">
        <v>993</v>
      </c>
      <c r="K171" s="56">
        <v>1</v>
      </c>
      <c r="L171" s="56"/>
      <c r="M171" s="57">
        <f t="shared" si="19"/>
        <v>0.1</v>
      </c>
      <c r="N171" s="57"/>
      <c r="O171" s="70">
        <v>8</v>
      </c>
      <c r="P171" s="62">
        <f t="shared" si="20"/>
        <v>0.8</v>
      </c>
    </row>
    <row r="172" spans="2:16" ht="15" customHeight="1" x14ac:dyDescent="0.3">
      <c r="B172" s="56">
        <v>3</v>
      </c>
      <c r="C172" s="53" t="s">
        <v>1075</v>
      </c>
      <c r="D172" s="54" t="s">
        <v>1000</v>
      </c>
      <c r="E172" s="54"/>
      <c r="F172" s="54"/>
      <c r="G172" s="54"/>
      <c r="H172" s="59"/>
      <c r="I172" s="58">
        <v>5</v>
      </c>
      <c r="J172" s="55" t="s">
        <v>993</v>
      </c>
      <c r="K172" s="56">
        <v>3</v>
      </c>
      <c r="L172" s="56"/>
      <c r="M172" s="57">
        <f t="shared" si="19"/>
        <v>0.05</v>
      </c>
      <c r="N172" s="57"/>
      <c r="O172" s="61">
        <v>37.960999999999999</v>
      </c>
      <c r="P172" s="62">
        <f t="shared" si="20"/>
        <v>5.694</v>
      </c>
    </row>
    <row r="173" spans="2:16" ht="15" customHeight="1" x14ac:dyDescent="0.3">
      <c r="B173" s="56">
        <v>3</v>
      </c>
      <c r="C173" s="53" t="s">
        <v>1075</v>
      </c>
      <c r="D173" s="54" t="s">
        <v>1002</v>
      </c>
      <c r="E173" s="54"/>
      <c r="F173" s="54"/>
      <c r="G173" s="54"/>
      <c r="H173" s="59"/>
      <c r="I173" s="58">
        <v>5</v>
      </c>
      <c r="J173" s="55" t="s">
        <v>993</v>
      </c>
      <c r="K173" s="56">
        <v>3</v>
      </c>
      <c r="L173" s="56"/>
      <c r="M173" s="57">
        <f t="shared" si="19"/>
        <v>0.05</v>
      </c>
      <c r="N173" s="57"/>
      <c r="O173" s="61">
        <v>40.220999999999997</v>
      </c>
      <c r="P173" s="62">
        <f t="shared" si="20"/>
        <v>6.0330000000000004</v>
      </c>
    </row>
    <row r="174" spans="2:16" ht="15" customHeight="1" x14ac:dyDescent="0.3">
      <c r="B174" s="56">
        <v>3</v>
      </c>
      <c r="C174" s="53" t="s">
        <v>1075</v>
      </c>
      <c r="D174" s="54" t="s">
        <v>1066</v>
      </c>
      <c r="E174" s="54"/>
      <c r="F174" s="54"/>
      <c r="G174" s="54"/>
      <c r="H174" s="59"/>
      <c r="I174" s="58">
        <v>10</v>
      </c>
      <c r="J174" s="55" t="s">
        <v>993</v>
      </c>
      <c r="K174" s="56">
        <v>2</v>
      </c>
      <c r="L174" s="56"/>
      <c r="M174" s="57">
        <f t="shared" si="19"/>
        <v>0.1</v>
      </c>
      <c r="N174" s="57"/>
      <c r="O174" s="61">
        <v>8</v>
      </c>
      <c r="P174" s="62">
        <f t="shared" si="20"/>
        <v>1.6</v>
      </c>
    </row>
    <row r="175" spans="2:16" ht="15" customHeight="1" x14ac:dyDescent="0.3">
      <c r="B175" s="56">
        <v>3</v>
      </c>
      <c r="C175" s="53" t="s">
        <v>1075</v>
      </c>
      <c r="D175" s="54" t="s">
        <v>1003</v>
      </c>
      <c r="E175" s="54"/>
      <c r="F175" s="54"/>
      <c r="G175" s="54"/>
      <c r="H175" s="59"/>
      <c r="I175" s="58">
        <v>5</v>
      </c>
      <c r="J175" s="55" t="s">
        <v>993</v>
      </c>
      <c r="K175" s="56">
        <v>3</v>
      </c>
      <c r="L175" s="56"/>
      <c r="M175" s="57">
        <f t="shared" si="19"/>
        <v>0.05</v>
      </c>
      <c r="N175" s="57"/>
      <c r="O175" s="61">
        <v>42.5</v>
      </c>
      <c r="P175" s="62">
        <f t="shared" si="20"/>
        <v>6.375</v>
      </c>
    </row>
    <row r="176" spans="2:16" ht="15" customHeight="1" x14ac:dyDescent="0.3">
      <c r="B176" s="56">
        <v>3</v>
      </c>
      <c r="C176" s="53" t="s">
        <v>1075</v>
      </c>
      <c r="D176" s="54" t="s">
        <v>1004</v>
      </c>
      <c r="E176" s="54"/>
      <c r="F176" s="54"/>
      <c r="G176" s="54"/>
      <c r="H176" s="59"/>
      <c r="I176" s="58">
        <v>15</v>
      </c>
      <c r="J176" s="55" t="s">
        <v>993</v>
      </c>
      <c r="K176" s="56">
        <v>2</v>
      </c>
      <c r="L176" s="56"/>
      <c r="M176" s="57">
        <f t="shared" si="19"/>
        <v>0.15</v>
      </c>
      <c r="N176" s="57"/>
      <c r="O176" s="61">
        <v>44.921999999999997</v>
      </c>
      <c r="P176" s="62">
        <f t="shared" si="20"/>
        <v>13.477</v>
      </c>
    </row>
    <row r="177" spans="2:31" ht="15" customHeight="1" x14ac:dyDescent="0.3">
      <c r="B177" s="56">
        <v>3</v>
      </c>
      <c r="C177" s="53" t="s">
        <v>1075</v>
      </c>
      <c r="D177" s="54" t="s">
        <v>1004</v>
      </c>
      <c r="E177" s="54"/>
      <c r="F177" s="54"/>
      <c r="G177" s="54"/>
      <c r="H177" s="59"/>
      <c r="I177" s="58">
        <v>5</v>
      </c>
      <c r="J177" s="55" t="s">
        <v>993</v>
      </c>
      <c r="K177" s="56">
        <v>1</v>
      </c>
      <c r="L177" s="56"/>
      <c r="M177" s="57">
        <v>0.05</v>
      </c>
      <c r="N177" s="57"/>
      <c r="O177" s="61">
        <v>44.921999999999997</v>
      </c>
      <c r="P177" s="62">
        <f t="shared" si="20"/>
        <v>2.246</v>
      </c>
    </row>
    <row r="178" spans="2:31" ht="15" customHeight="1" x14ac:dyDescent="0.3">
      <c r="B178" s="118">
        <v>3</v>
      </c>
      <c r="C178" s="119" t="s">
        <v>1075</v>
      </c>
      <c r="D178" s="120" t="s">
        <v>1004</v>
      </c>
      <c r="E178" s="120"/>
      <c r="F178" s="120"/>
      <c r="G178" s="120"/>
      <c r="H178" s="133"/>
      <c r="I178" s="134">
        <v>30</v>
      </c>
      <c r="J178" s="121" t="s">
        <v>993</v>
      </c>
      <c r="K178" s="118">
        <v>1</v>
      </c>
      <c r="L178" s="118"/>
      <c r="M178" s="135">
        <v>0.3</v>
      </c>
      <c r="N178" s="135"/>
      <c r="O178" s="124">
        <v>44.921999999999997</v>
      </c>
      <c r="P178" s="125">
        <f t="shared" si="20"/>
        <v>13.477</v>
      </c>
    </row>
    <row r="179" spans="2:31" ht="15" customHeight="1" x14ac:dyDescent="0.3">
      <c r="B179" s="96">
        <v>4</v>
      </c>
      <c r="C179" s="97" t="s">
        <v>1081</v>
      </c>
      <c r="D179" s="98" t="s">
        <v>1083</v>
      </c>
      <c r="E179" s="98"/>
      <c r="F179" s="98"/>
      <c r="G179" s="98"/>
      <c r="H179" s="127"/>
      <c r="I179" s="128">
        <v>30</v>
      </c>
      <c r="J179" s="99" t="s">
        <v>993</v>
      </c>
      <c r="K179" s="96">
        <v>1</v>
      </c>
      <c r="L179" s="96"/>
      <c r="M179" s="129">
        <v>0.3</v>
      </c>
      <c r="N179" s="129"/>
      <c r="O179" s="138">
        <v>1.72</v>
      </c>
      <c r="P179" s="103">
        <f t="shared" ref="P179" si="22">+ROUND(PRODUCT(K179:O179),3)</f>
        <v>0.51600000000000001</v>
      </c>
    </row>
    <row r="180" spans="2:31" ht="4.95" customHeight="1" x14ac:dyDescent="0.3">
      <c r="B180" s="39"/>
      <c r="C180" s="42"/>
      <c r="D180" s="40"/>
      <c r="E180" s="40"/>
      <c r="F180" s="40"/>
      <c r="G180" s="40"/>
      <c r="H180" s="41"/>
      <c r="I180" s="41"/>
      <c r="J180" s="41"/>
      <c r="K180" s="41"/>
      <c r="L180" s="41"/>
      <c r="M180" s="41"/>
      <c r="N180" s="41"/>
      <c r="O180" s="42"/>
      <c r="P180" s="43"/>
    </row>
    <row r="181" spans="2:31" ht="19.95" customHeight="1" x14ac:dyDescent="0.3">
      <c r="C181" s="30"/>
      <c r="D181" s="33"/>
      <c r="E181" s="33"/>
      <c r="F181" s="33"/>
      <c r="G181" s="33"/>
      <c r="H181" s="12"/>
      <c r="I181" s="12"/>
      <c r="J181" s="12"/>
      <c r="K181" s="12"/>
      <c r="L181" s="12"/>
      <c r="M181" s="12"/>
      <c r="N181" s="12"/>
      <c r="O181" s="30"/>
    </row>
    <row r="182" spans="2:31" ht="30" customHeight="1" x14ac:dyDescent="0.3">
      <c r="B182" s="186" t="s">
        <v>7</v>
      </c>
      <c r="C182" s="189"/>
      <c r="D182" s="186" t="s">
        <v>8</v>
      </c>
      <c r="E182" s="187"/>
      <c r="F182" s="187"/>
      <c r="G182" s="187"/>
      <c r="H182" s="187"/>
      <c r="I182" s="187"/>
      <c r="J182" s="187"/>
      <c r="K182" s="187"/>
      <c r="L182" s="187"/>
      <c r="M182" s="34" t="s">
        <v>9</v>
      </c>
      <c r="N182" s="85" t="s">
        <v>1084</v>
      </c>
      <c r="O182" s="85" t="s">
        <v>1085</v>
      </c>
      <c r="P182" s="35" t="s">
        <v>1086</v>
      </c>
    </row>
    <row r="183" spans="2:31" ht="30" customHeight="1" x14ac:dyDescent="0.3">
      <c r="B183" s="190" t="s">
        <v>131</v>
      </c>
      <c r="C183" s="191"/>
      <c r="D183" s="207" t="str">
        <f>+VLOOKUP(B183,[2]Liste!B:E,2,FALSE)</f>
        <v>L=4 m Kaya Bulonu</v>
      </c>
      <c r="E183" s="208"/>
      <c r="F183" s="208"/>
      <c r="G183" s="208"/>
      <c r="H183" s="208"/>
      <c r="I183" s="208"/>
      <c r="J183" s="208"/>
      <c r="K183" s="208"/>
      <c r="L183" s="208"/>
      <c r="M183" s="36" t="str">
        <f>+VLOOKUP(B183,[2]Liste!B:E,3,FALSE)</f>
        <v>adet</v>
      </c>
      <c r="N183" s="60">
        <v>275</v>
      </c>
      <c r="O183" s="60">
        <f>+P183-N183</f>
        <v>0</v>
      </c>
      <c r="P183" s="60">
        <f>+SUM(P184:P188)</f>
        <v>275</v>
      </c>
      <c r="AA183" s="9">
        <f>+VLOOKUP(B183,[1]Liste!$B$2:$F$483,5,FALSE)</f>
        <v>8000</v>
      </c>
      <c r="AC183" s="9">
        <f>+AA183*N183</f>
        <v>2200000</v>
      </c>
      <c r="AD183" s="9">
        <f>+AA183*O183</f>
        <v>0</v>
      </c>
      <c r="AE183" s="9">
        <f>+AA183*P183</f>
        <v>2200000</v>
      </c>
    </row>
    <row r="184" spans="2:31" ht="15" customHeight="1" x14ac:dyDescent="0.3">
      <c r="B184" s="93" t="s">
        <v>981</v>
      </c>
      <c r="C184" s="93" t="s">
        <v>991</v>
      </c>
      <c r="D184" s="94" t="s">
        <v>990</v>
      </c>
      <c r="E184" s="94"/>
      <c r="F184" s="94"/>
      <c r="G184" s="94"/>
      <c r="H184" s="139"/>
      <c r="I184" s="139"/>
      <c r="J184" s="139"/>
      <c r="K184" s="93" t="s">
        <v>989</v>
      </c>
      <c r="L184" s="140"/>
      <c r="M184" s="141"/>
      <c r="N184" s="142"/>
      <c r="O184" s="143" t="s">
        <v>1030</v>
      </c>
      <c r="P184" s="95" t="s">
        <v>14</v>
      </c>
    </row>
    <row r="185" spans="2:31" ht="15" customHeight="1" x14ac:dyDescent="0.3">
      <c r="B185" s="22">
        <v>3</v>
      </c>
      <c r="C185" s="147" t="s">
        <v>1059</v>
      </c>
      <c r="D185" s="148" t="s">
        <v>1060</v>
      </c>
      <c r="E185" s="148"/>
      <c r="F185" s="148"/>
      <c r="G185" s="148"/>
      <c r="H185" s="149"/>
      <c r="I185" s="149"/>
      <c r="J185" s="149"/>
      <c r="K185" s="22">
        <v>1</v>
      </c>
      <c r="L185" s="150"/>
      <c r="M185" s="48"/>
      <c r="N185" s="48"/>
      <c r="O185" s="151">
        <v>41</v>
      </c>
      <c r="P185" s="71">
        <f>+ROUND(PRODUCT(K185:O185),3)</f>
        <v>41</v>
      </c>
    </row>
    <row r="186" spans="2:31" ht="15" customHeight="1" x14ac:dyDescent="0.3">
      <c r="B186" s="22">
        <v>3</v>
      </c>
      <c r="C186" s="147" t="s">
        <v>1063</v>
      </c>
      <c r="D186" s="148" t="s">
        <v>1064</v>
      </c>
      <c r="E186" s="148"/>
      <c r="F186" s="148"/>
      <c r="G186" s="148"/>
      <c r="H186" s="149"/>
      <c r="I186" s="149"/>
      <c r="J186" s="149"/>
      <c r="K186" s="22">
        <v>1</v>
      </c>
      <c r="L186" s="150"/>
      <c r="M186" s="48"/>
      <c r="N186" s="48"/>
      <c r="O186" s="151">
        <v>85</v>
      </c>
      <c r="P186" s="71">
        <f>+ROUND(PRODUCT(K186:O186),3)</f>
        <v>85</v>
      </c>
    </row>
    <row r="187" spans="2:31" ht="15" customHeight="1" x14ac:dyDescent="0.3">
      <c r="B187" s="96">
        <v>3</v>
      </c>
      <c r="C187" s="97" t="s">
        <v>1075</v>
      </c>
      <c r="D187" s="98" t="s">
        <v>1076</v>
      </c>
      <c r="E187" s="98"/>
      <c r="F187" s="98"/>
      <c r="G187" s="98"/>
      <c r="H187" s="127"/>
      <c r="I187" s="127"/>
      <c r="J187" s="127"/>
      <c r="K187" s="96">
        <v>1</v>
      </c>
      <c r="L187" s="144"/>
      <c r="M187" s="145"/>
      <c r="N187" s="145"/>
      <c r="O187" s="146">
        <v>149</v>
      </c>
      <c r="P187" s="103">
        <f>+ROUND(PRODUCT(K187:O187),3)</f>
        <v>149</v>
      </c>
    </row>
    <row r="188" spans="2:31" ht="4.95" customHeight="1" x14ac:dyDescent="0.3">
      <c r="B188" s="39"/>
      <c r="C188" s="42"/>
      <c r="D188" s="40"/>
      <c r="E188" s="40"/>
      <c r="F188" s="40"/>
      <c r="G188" s="40"/>
      <c r="H188" s="41"/>
      <c r="I188" s="41"/>
      <c r="J188" s="41"/>
      <c r="K188" s="41"/>
      <c r="L188" s="41"/>
      <c r="M188" s="41"/>
      <c r="N188" s="41"/>
      <c r="O188" s="42"/>
      <c r="P188" s="43"/>
    </row>
    <row r="189" spans="2:31" ht="19.95" customHeight="1" x14ac:dyDescent="0.3"/>
    <row r="190" spans="2:31" ht="30" customHeight="1" x14ac:dyDescent="0.3">
      <c r="B190" s="186" t="s">
        <v>7</v>
      </c>
      <c r="C190" s="189"/>
      <c r="D190" s="186" t="s">
        <v>8</v>
      </c>
      <c r="E190" s="187"/>
      <c r="F190" s="187"/>
      <c r="G190" s="187"/>
      <c r="H190" s="187"/>
      <c r="I190" s="187"/>
      <c r="J190" s="187"/>
      <c r="K190" s="187"/>
      <c r="L190" s="187"/>
      <c r="M190" s="34" t="s">
        <v>9</v>
      </c>
      <c r="N190" s="85" t="s">
        <v>1084</v>
      </c>
      <c r="O190" s="85" t="s">
        <v>1085</v>
      </c>
      <c r="P190" s="35" t="s">
        <v>1086</v>
      </c>
    </row>
    <row r="191" spans="2:31" ht="30" customHeight="1" x14ac:dyDescent="0.3">
      <c r="B191" s="190" t="s">
        <v>134</v>
      </c>
      <c r="C191" s="191"/>
      <c r="D191" s="207" t="str">
        <f>+VLOOKUP(B191,[2]Liste!B:E,2,FALSE)</f>
        <v>L=8 m Kaya Bulonu</v>
      </c>
      <c r="E191" s="208"/>
      <c r="F191" s="208"/>
      <c r="G191" s="208"/>
      <c r="H191" s="208"/>
      <c r="I191" s="208"/>
      <c r="J191" s="208"/>
      <c r="K191" s="208"/>
      <c r="L191" s="208"/>
      <c r="M191" s="36" t="str">
        <f>+VLOOKUP(B191,[2]Liste!B:E,3,FALSE)</f>
        <v>adet</v>
      </c>
      <c r="N191" s="60">
        <v>287</v>
      </c>
      <c r="O191" s="60">
        <f>+P191-N191</f>
        <v>0</v>
      </c>
      <c r="P191" s="60">
        <f>+SUM(P192:P198)</f>
        <v>287</v>
      </c>
      <c r="AA191" s="9">
        <f>+VLOOKUP(B191,[1]Liste!$B$2:$F$483,5,FALSE)</f>
        <v>28000</v>
      </c>
      <c r="AC191" s="9">
        <f>+AA191*N191</f>
        <v>8036000</v>
      </c>
      <c r="AD191" s="9">
        <f>+AA191*O191</f>
        <v>0</v>
      </c>
      <c r="AE191" s="9">
        <f>+AA191*P191</f>
        <v>8036000</v>
      </c>
    </row>
    <row r="192" spans="2:31" ht="15" customHeight="1" x14ac:dyDescent="0.3">
      <c r="B192" s="93" t="s">
        <v>981</v>
      </c>
      <c r="C192" s="93" t="s">
        <v>991</v>
      </c>
      <c r="D192" s="94" t="s">
        <v>990</v>
      </c>
      <c r="E192" s="94"/>
      <c r="F192" s="94"/>
      <c r="G192" s="94"/>
      <c r="H192" s="139"/>
      <c r="I192" s="139"/>
      <c r="J192" s="139"/>
      <c r="K192" s="93" t="s">
        <v>989</v>
      </c>
      <c r="L192" s="140"/>
      <c r="M192" s="141"/>
      <c r="N192" s="142"/>
      <c r="O192" s="143" t="s">
        <v>1030</v>
      </c>
      <c r="P192" s="95" t="s">
        <v>14</v>
      </c>
    </row>
    <row r="193" spans="2:31" ht="15" customHeight="1" x14ac:dyDescent="0.3">
      <c r="B193" s="22">
        <v>3</v>
      </c>
      <c r="C193" s="147" t="s">
        <v>1059</v>
      </c>
      <c r="D193" s="148" t="s">
        <v>1060</v>
      </c>
      <c r="E193" s="148"/>
      <c r="F193" s="148"/>
      <c r="G193" s="148"/>
      <c r="H193" s="149"/>
      <c r="I193" s="149"/>
      <c r="J193" s="149"/>
      <c r="K193" s="22">
        <v>1</v>
      </c>
      <c r="L193" s="150"/>
      <c r="M193" s="48"/>
      <c r="N193" s="48"/>
      <c r="O193" s="151">
        <v>27</v>
      </c>
      <c r="P193" s="71">
        <f>+ROUND(PRODUCT(K193:O193),3)</f>
        <v>27</v>
      </c>
    </row>
    <row r="194" spans="2:31" ht="15" customHeight="1" x14ac:dyDescent="0.3">
      <c r="B194" s="22">
        <v>3</v>
      </c>
      <c r="C194" s="147" t="s">
        <v>1063</v>
      </c>
      <c r="D194" s="148" t="s">
        <v>1064</v>
      </c>
      <c r="E194" s="148"/>
      <c r="F194" s="148"/>
      <c r="G194" s="148"/>
      <c r="H194" s="149"/>
      <c r="I194" s="149"/>
      <c r="J194" s="149"/>
      <c r="K194" s="22">
        <v>1</v>
      </c>
      <c r="L194" s="150"/>
      <c r="M194" s="48"/>
      <c r="N194" s="48"/>
      <c r="O194" s="151">
        <v>57</v>
      </c>
      <c r="P194" s="71">
        <f>+ROUND(PRODUCT(K194:O194),3)</f>
        <v>57</v>
      </c>
    </row>
    <row r="195" spans="2:31" ht="15" customHeight="1" x14ac:dyDescent="0.3">
      <c r="B195" s="22">
        <v>3</v>
      </c>
      <c r="C195" s="147" t="s">
        <v>1075</v>
      </c>
      <c r="D195" s="148" t="s">
        <v>1076</v>
      </c>
      <c r="E195" s="148"/>
      <c r="F195" s="148"/>
      <c r="G195" s="148"/>
      <c r="H195" s="149"/>
      <c r="I195" s="149"/>
      <c r="J195" s="149"/>
      <c r="K195" s="22">
        <v>1</v>
      </c>
      <c r="L195" s="150"/>
      <c r="M195" s="48"/>
      <c r="N195" s="48"/>
      <c r="O195" s="151">
        <v>99</v>
      </c>
      <c r="P195" s="71">
        <f>+ROUND(PRODUCT(K195:O195),3)</f>
        <v>99</v>
      </c>
    </row>
    <row r="196" spans="2:31" ht="15" customHeight="1" x14ac:dyDescent="0.3">
      <c r="B196" s="22">
        <v>4</v>
      </c>
      <c r="C196" s="147" t="s">
        <v>1081</v>
      </c>
      <c r="D196" s="148" t="s">
        <v>1082</v>
      </c>
      <c r="E196" s="148"/>
      <c r="F196" s="148"/>
      <c r="G196" s="148"/>
      <c r="H196" s="149"/>
      <c r="I196" s="149"/>
      <c r="J196" s="149"/>
      <c r="K196" s="22">
        <v>1</v>
      </c>
      <c r="L196" s="150"/>
      <c r="M196" s="48"/>
      <c r="N196" s="48"/>
      <c r="O196" s="151">
        <v>94</v>
      </c>
      <c r="P196" s="71">
        <f>+ROUND(PRODUCT(K196:O196),3)</f>
        <v>94</v>
      </c>
    </row>
    <row r="197" spans="2:31" ht="15" customHeight="1" x14ac:dyDescent="0.3">
      <c r="B197" s="96">
        <v>4</v>
      </c>
      <c r="C197" s="97" t="s">
        <v>1089</v>
      </c>
      <c r="D197" s="98" t="s">
        <v>1090</v>
      </c>
      <c r="E197" s="98"/>
      <c r="F197" s="98"/>
      <c r="G197" s="98"/>
      <c r="H197" s="127"/>
      <c r="I197" s="127"/>
      <c r="J197" s="127"/>
      <c r="K197" s="96">
        <v>1</v>
      </c>
      <c r="L197" s="144"/>
      <c r="M197" s="145"/>
      <c r="N197" s="145"/>
      <c r="O197" s="146">
        <v>10</v>
      </c>
      <c r="P197" s="103">
        <f>+ROUND(PRODUCT(K197:O197),3)</f>
        <v>10</v>
      </c>
    </row>
    <row r="198" spans="2:31" ht="4.95" customHeight="1" x14ac:dyDescent="0.3">
      <c r="B198" s="39"/>
      <c r="C198" s="42"/>
      <c r="D198" s="40"/>
      <c r="E198" s="40"/>
      <c r="F198" s="40"/>
      <c r="G198" s="40"/>
      <c r="H198" s="41"/>
      <c r="I198" s="41"/>
      <c r="J198" s="41"/>
      <c r="K198" s="41"/>
      <c r="L198" s="41"/>
      <c r="M198" s="41"/>
      <c r="N198" s="41"/>
      <c r="O198" s="42"/>
      <c r="P198" s="43"/>
    </row>
    <row r="199" spans="2:31" ht="15" customHeight="1" x14ac:dyDescent="0.3">
      <c r="C199" s="30"/>
      <c r="D199" s="33"/>
      <c r="E199" s="33"/>
      <c r="F199" s="33"/>
      <c r="G199" s="33"/>
      <c r="H199" s="12"/>
      <c r="I199" s="12"/>
      <c r="J199" s="12"/>
      <c r="K199" s="12"/>
      <c r="L199" s="12"/>
      <c r="M199" s="12"/>
      <c r="N199" s="12"/>
      <c r="O199" s="30"/>
    </row>
    <row r="200" spans="2:31" ht="30" customHeight="1" x14ac:dyDescent="0.3">
      <c r="B200" s="186" t="s">
        <v>7</v>
      </c>
      <c r="C200" s="189"/>
      <c r="D200" s="186" t="s">
        <v>8</v>
      </c>
      <c r="E200" s="187"/>
      <c r="F200" s="187"/>
      <c r="G200" s="187"/>
      <c r="H200" s="187"/>
      <c r="I200" s="187"/>
      <c r="J200" s="187"/>
      <c r="K200" s="187"/>
      <c r="L200" s="187"/>
      <c r="M200" s="34" t="s">
        <v>9</v>
      </c>
      <c r="N200" s="85" t="s">
        <v>1084</v>
      </c>
      <c r="O200" s="85" t="s">
        <v>1085</v>
      </c>
      <c r="P200" s="35" t="s">
        <v>1086</v>
      </c>
    </row>
    <row r="201" spans="2:31" ht="30" customHeight="1" x14ac:dyDescent="0.3">
      <c r="B201" s="190" t="s">
        <v>136</v>
      </c>
      <c r="C201" s="191"/>
      <c r="D201" s="207" t="str">
        <f>+VLOOKUP(B201,[2]Liste!B:E,2,FALSE)</f>
        <v>125 mm Delik İçine 14 mm Kalınlığında S420a ile Zemin Çivisi Teşkili</v>
      </c>
      <c r="E201" s="208"/>
      <c r="F201" s="208"/>
      <c r="G201" s="208"/>
      <c r="H201" s="208"/>
      <c r="I201" s="208"/>
      <c r="J201" s="208"/>
      <c r="K201" s="208"/>
      <c r="L201" s="208"/>
      <c r="M201" s="36" t="str">
        <f>+VLOOKUP(B201,[2]Liste!B:E,3,FALSE)</f>
        <v>m</v>
      </c>
      <c r="N201" s="60">
        <v>1854</v>
      </c>
      <c r="O201" s="60">
        <f>+P201-N201</f>
        <v>0</v>
      </c>
      <c r="P201" s="60">
        <f>+SUM(P202:P206)</f>
        <v>1854</v>
      </c>
      <c r="AA201" s="9">
        <f>+VLOOKUP(B201,[1]Liste!$B$2:$F$483,5,FALSE)</f>
        <v>375</v>
      </c>
      <c r="AC201" s="9">
        <f>+AA201*N201</f>
        <v>695250</v>
      </c>
      <c r="AD201" s="9">
        <f>+AA201*O201</f>
        <v>0</v>
      </c>
      <c r="AE201" s="9">
        <f>+AA201*P201</f>
        <v>695250</v>
      </c>
    </row>
    <row r="202" spans="2:31" ht="15.6" customHeight="1" x14ac:dyDescent="0.3">
      <c r="B202" s="93" t="s">
        <v>981</v>
      </c>
      <c r="C202" s="93" t="s">
        <v>991</v>
      </c>
      <c r="D202" s="94" t="s">
        <v>990</v>
      </c>
      <c r="E202" s="94"/>
      <c r="F202" s="94"/>
      <c r="G202" s="94"/>
      <c r="H202" s="139"/>
      <c r="I202" s="139"/>
      <c r="J202" s="139"/>
      <c r="K202" s="93" t="s">
        <v>989</v>
      </c>
      <c r="L202" s="140"/>
      <c r="M202" s="141"/>
      <c r="N202" s="142"/>
      <c r="O202" s="143" t="s">
        <v>985</v>
      </c>
      <c r="P202" s="95" t="s">
        <v>14</v>
      </c>
    </row>
    <row r="203" spans="2:31" ht="15.6" customHeight="1" x14ac:dyDescent="0.3">
      <c r="B203" s="22">
        <v>3</v>
      </c>
      <c r="C203" s="147" t="s">
        <v>1059</v>
      </c>
      <c r="D203" s="148" t="s">
        <v>1060</v>
      </c>
      <c r="E203" s="148"/>
      <c r="F203" s="148"/>
      <c r="G203" s="148"/>
      <c r="H203" s="149"/>
      <c r="I203" s="149"/>
      <c r="J203" s="149"/>
      <c r="K203" s="22">
        <v>1</v>
      </c>
      <c r="L203" s="150"/>
      <c r="M203" s="48"/>
      <c r="N203" s="48"/>
      <c r="O203" s="151">
        <v>396</v>
      </c>
      <c r="P203" s="71">
        <f>+ROUND(PRODUCT(K203:O203),3)</f>
        <v>396</v>
      </c>
    </row>
    <row r="204" spans="2:31" ht="15.6" customHeight="1" x14ac:dyDescent="0.3">
      <c r="B204" s="22">
        <v>3</v>
      </c>
      <c r="C204" s="147" t="s">
        <v>1063</v>
      </c>
      <c r="D204" s="148" t="s">
        <v>1064</v>
      </c>
      <c r="E204" s="148"/>
      <c r="F204" s="148"/>
      <c r="G204" s="148"/>
      <c r="H204" s="149"/>
      <c r="I204" s="149"/>
      <c r="J204" s="149"/>
      <c r="K204" s="22">
        <v>1</v>
      </c>
      <c r="L204" s="150"/>
      <c r="M204" s="48"/>
      <c r="N204" s="48"/>
      <c r="O204" s="151">
        <v>1035</v>
      </c>
      <c r="P204" s="71">
        <f>+ROUND(PRODUCT(K204:O204),3)</f>
        <v>1035</v>
      </c>
    </row>
    <row r="205" spans="2:31" ht="15.6" customHeight="1" x14ac:dyDescent="0.3">
      <c r="B205" s="96">
        <v>3</v>
      </c>
      <c r="C205" s="97" t="s">
        <v>1075</v>
      </c>
      <c r="D205" s="98" t="s">
        <v>1076</v>
      </c>
      <c r="E205" s="98"/>
      <c r="F205" s="98"/>
      <c r="G205" s="98"/>
      <c r="H205" s="127"/>
      <c r="I205" s="127"/>
      <c r="J205" s="127"/>
      <c r="K205" s="96">
        <v>1</v>
      </c>
      <c r="L205" s="144"/>
      <c r="M205" s="145"/>
      <c r="N205" s="145"/>
      <c r="O205" s="146">
        <v>423</v>
      </c>
      <c r="P205" s="103">
        <f>+ROUND(PRODUCT(K205:O205),3)</f>
        <v>423</v>
      </c>
    </row>
    <row r="206" spans="2:31" ht="4.95" customHeight="1" x14ac:dyDescent="0.3">
      <c r="B206" s="39"/>
      <c r="C206" s="42"/>
      <c r="D206" s="40"/>
      <c r="E206" s="40"/>
      <c r="F206" s="40"/>
      <c r="G206" s="40"/>
      <c r="H206" s="41"/>
      <c r="I206" s="41"/>
      <c r="J206" s="41"/>
      <c r="K206" s="41"/>
      <c r="L206" s="41"/>
      <c r="M206" s="41"/>
      <c r="N206" s="41"/>
      <c r="O206" s="42"/>
      <c r="P206" s="43"/>
    </row>
    <row r="207" spans="2:31" ht="19.95" customHeight="1" x14ac:dyDescent="0.3">
      <c r="C207" s="30"/>
      <c r="D207" s="33"/>
      <c r="E207" s="33"/>
      <c r="F207" s="33"/>
      <c r="G207" s="33"/>
      <c r="H207" s="12"/>
      <c r="I207" s="12"/>
      <c r="J207" s="12"/>
      <c r="K207" s="12"/>
      <c r="L207" s="12"/>
      <c r="M207" s="12"/>
      <c r="N207" s="12"/>
      <c r="O207" s="30"/>
    </row>
    <row r="208" spans="2:31" ht="30" customHeight="1" x14ac:dyDescent="0.3">
      <c r="B208" s="186" t="s">
        <v>7</v>
      </c>
      <c r="C208" s="189"/>
      <c r="D208" s="186" t="s">
        <v>8</v>
      </c>
      <c r="E208" s="187"/>
      <c r="F208" s="187"/>
      <c r="G208" s="187"/>
      <c r="H208" s="187"/>
      <c r="I208" s="187"/>
      <c r="J208" s="187"/>
      <c r="K208" s="187"/>
      <c r="L208" s="187"/>
      <c r="M208" s="34" t="s">
        <v>9</v>
      </c>
      <c r="N208" s="85" t="s">
        <v>1084</v>
      </c>
      <c r="O208" s="85" t="s">
        <v>1085</v>
      </c>
      <c r="P208" s="35" t="s">
        <v>1086</v>
      </c>
    </row>
    <row r="209" spans="2:31" ht="30" customHeight="1" x14ac:dyDescent="0.3">
      <c r="B209" s="190" t="s">
        <v>138</v>
      </c>
      <c r="C209" s="191"/>
      <c r="D209" s="207" t="str">
        <f>+VLOOKUP(B209,[2]Liste!B:E,2,FALSE)</f>
        <v>Çelik İksa (Tünel ve Şaftlarda)</v>
      </c>
      <c r="E209" s="208"/>
      <c r="F209" s="208"/>
      <c r="G209" s="208"/>
      <c r="H209" s="208"/>
      <c r="I209" s="208"/>
      <c r="J209" s="208"/>
      <c r="K209" s="208"/>
      <c r="L209" s="208"/>
      <c r="M209" s="36" t="str">
        <f>+VLOOKUP(B209,[2]Liste!B:E,3,FALSE)</f>
        <v>ton</v>
      </c>
      <c r="N209" s="60">
        <v>92.102999999999994</v>
      </c>
      <c r="O209" s="60">
        <f>+P209-N209</f>
        <v>0</v>
      </c>
      <c r="P209" s="60">
        <f>+ROUND(SUM(P210:P256),3)</f>
        <v>92.102999999999994</v>
      </c>
      <c r="AA209" s="9">
        <f>+VLOOKUP(B209,[1]Liste!$B$2:$F$483,5,FALSE)</f>
        <v>102000</v>
      </c>
      <c r="AC209" s="9">
        <f>+AA209*N209</f>
        <v>9394506</v>
      </c>
      <c r="AD209" s="9">
        <f>+AA209*O209</f>
        <v>0</v>
      </c>
      <c r="AE209" s="9">
        <f>+AA209*P209</f>
        <v>9394506</v>
      </c>
    </row>
    <row r="210" spans="2:31" ht="15" customHeight="1" x14ac:dyDescent="0.3">
      <c r="B210" s="51" t="s">
        <v>1015</v>
      </c>
      <c r="C210" s="78"/>
      <c r="D210" s="45"/>
      <c r="E210" s="45"/>
      <c r="F210" s="45"/>
      <c r="G210" s="45"/>
      <c r="H210" s="46"/>
      <c r="I210" s="46"/>
      <c r="J210" s="46"/>
      <c r="K210" s="47"/>
      <c r="L210" s="47"/>
      <c r="M210" s="48"/>
      <c r="N210" s="48"/>
      <c r="O210" s="49"/>
      <c r="P210" s="50"/>
    </row>
    <row r="211" spans="2:31" ht="15" customHeight="1" x14ac:dyDescent="0.3">
      <c r="B211" s="93" t="s">
        <v>981</v>
      </c>
      <c r="C211" s="93" t="s">
        <v>991</v>
      </c>
      <c r="D211" s="94" t="s">
        <v>990</v>
      </c>
      <c r="E211" s="94"/>
      <c r="F211" s="94"/>
      <c r="G211" s="94"/>
      <c r="H211" s="93" t="s">
        <v>988</v>
      </c>
      <c r="I211" s="93" t="s">
        <v>987</v>
      </c>
      <c r="J211" s="93" t="s">
        <v>992</v>
      </c>
      <c r="K211" s="93" t="s">
        <v>989</v>
      </c>
      <c r="L211" s="152" t="s">
        <v>12</v>
      </c>
      <c r="M211" s="153"/>
      <c r="N211" s="154"/>
      <c r="O211" s="95" t="s">
        <v>995</v>
      </c>
      <c r="P211" s="95" t="s">
        <v>14</v>
      </c>
    </row>
    <row r="212" spans="2:31" ht="15" customHeight="1" x14ac:dyDescent="0.3">
      <c r="B212" s="104">
        <v>3</v>
      </c>
      <c r="C212" s="105" t="s">
        <v>1059</v>
      </c>
      <c r="D212" s="106" t="s">
        <v>1060</v>
      </c>
      <c r="E212" s="106"/>
      <c r="F212" s="106"/>
      <c r="G212" s="106"/>
      <c r="H212" s="107">
        <v>1358.63</v>
      </c>
      <c r="I212" s="107">
        <v>1372.13</v>
      </c>
      <c r="J212" s="107" t="s">
        <v>993</v>
      </c>
      <c r="K212" s="104">
        <v>3</v>
      </c>
      <c r="L212" s="116" t="s">
        <v>1008</v>
      </c>
      <c r="M212" s="156"/>
      <c r="N212" s="117"/>
      <c r="O212" s="157">
        <v>1128.7577499999998</v>
      </c>
      <c r="P212" s="111">
        <f t="shared" ref="P212:P229" si="23">+ROUND(K212*O212/1000,3)</f>
        <v>3.3860000000000001</v>
      </c>
    </row>
    <row r="213" spans="2:31" ht="15" customHeight="1" x14ac:dyDescent="0.3">
      <c r="B213" s="56">
        <v>3</v>
      </c>
      <c r="C213" s="53" t="s">
        <v>1059</v>
      </c>
      <c r="D213" s="54" t="s">
        <v>1060</v>
      </c>
      <c r="E213" s="54"/>
      <c r="F213" s="54"/>
      <c r="G213" s="54"/>
      <c r="H213" s="55">
        <v>1358.63</v>
      </c>
      <c r="I213" s="55">
        <v>1372.13</v>
      </c>
      <c r="J213" s="55" t="s">
        <v>993</v>
      </c>
      <c r="K213" s="56">
        <v>3</v>
      </c>
      <c r="L213" s="66" t="s">
        <v>1009</v>
      </c>
      <c r="M213" s="67"/>
      <c r="N213" s="68"/>
      <c r="O213" s="91">
        <v>1154.6827999999998</v>
      </c>
      <c r="P213" s="62">
        <f t="shared" si="23"/>
        <v>3.464</v>
      </c>
    </row>
    <row r="214" spans="2:31" ht="15" customHeight="1" x14ac:dyDescent="0.3">
      <c r="B214" s="56">
        <v>3</v>
      </c>
      <c r="C214" s="53" t="s">
        <v>1059</v>
      </c>
      <c r="D214" s="54" t="s">
        <v>1060</v>
      </c>
      <c r="E214" s="54"/>
      <c r="F214" s="54"/>
      <c r="G214" s="54"/>
      <c r="H214" s="55">
        <v>1358.63</v>
      </c>
      <c r="I214" s="55">
        <v>1372.13</v>
      </c>
      <c r="J214" s="55" t="s">
        <v>993</v>
      </c>
      <c r="K214" s="56">
        <v>3</v>
      </c>
      <c r="L214" s="66" t="s">
        <v>1010</v>
      </c>
      <c r="M214" s="67"/>
      <c r="N214" s="68"/>
      <c r="O214" s="91">
        <v>1189.8641499999997</v>
      </c>
      <c r="P214" s="62">
        <f t="shared" si="23"/>
        <v>3.57</v>
      </c>
    </row>
    <row r="215" spans="2:31" ht="15" customHeight="1" x14ac:dyDescent="0.3">
      <c r="B215" s="56">
        <v>3</v>
      </c>
      <c r="C215" s="53" t="s">
        <v>1059</v>
      </c>
      <c r="D215" s="54" t="s">
        <v>1060</v>
      </c>
      <c r="E215" s="54"/>
      <c r="F215" s="54"/>
      <c r="G215" s="54"/>
      <c r="H215" s="55">
        <v>1358.63</v>
      </c>
      <c r="I215" s="55">
        <v>1372.13</v>
      </c>
      <c r="J215" s="55" t="s">
        <v>993</v>
      </c>
      <c r="K215" s="56">
        <v>3</v>
      </c>
      <c r="L215" s="66" t="s">
        <v>1011</v>
      </c>
      <c r="M215" s="67"/>
      <c r="N215" s="68"/>
      <c r="O215" s="91">
        <v>1230.2123499999998</v>
      </c>
      <c r="P215" s="62">
        <f t="shared" si="23"/>
        <v>3.6909999999999998</v>
      </c>
    </row>
    <row r="216" spans="2:31" ht="15" customHeight="1" x14ac:dyDescent="0.3">
      <c r="B216" s="56">
        <v>3</v>
      </c>
      <c r="C216" s="53" t="s">
        <v>1059</v>
      </c>
      <c r="D216" s="54" t="s">
        <v>1060</v>
      </c>
      <c r="E216" s="54"/>
      <c r="F216" s="54"/>
      <c r="G216" s="54"/>
      <c r="H216" s="55">
        <v>1358.63</v>
      </c>
      <c r="I216" s="55">
        <v>1372.13</v>
      </c>
      <c r="J216" s="55" t="s">
        <v>993</v>
      </c>
      <c r="K216" s="56">
        <v>3</v>
      </c>
      <c r="L216" s="66" t="s">
        <v>1012</v>
      </c>
      <c r="M216" s="67"/>
      <c r="N216" s="68"/>
      <c r="O216" s="91">
        <v>1263.5931555555555</v>
      </c>
      <c r="P216" s="62">
        <f t="shared" si="23"/>
        <v>3.7909999999999999</v>
      </c>
    </row>
    <row r="217" spans="2:31" ht="15" customHeight="1" x14ac:dyDescent="0.3">
      <c r="B217" s="118">
        <v>3</v>
      </c>
      <c r="C217" s="119" t="s">
        <v>1059</v>
      </c>
      <c r="D217" s="120" t="s">
        <v>1060</v>
      </c>
      <c r="E217" s="120"/>
      <c r="F217" s="120"/>
      <c r="G217" s="120"/>
      <c r="H217" s="121">
        <v>1358.63</v>
      </c>
      <c r="I217" s="121">
        <v>1372.13</v>
      </c>
      <c r="J217" s="121" t="s">
        <v>993</v>
      </c>
      <c r="K217" s="118">
        <v>3</v>
      </c>
      <c r="L217" s="122" t="s">
        <v>1013</v>
      </c>
      <c r="M217" s="158"/>
      <c r="N217" s="123"/>
      <c r="O217" s="159">
        <v>1299.5360499999999</v>
      </c>
      <c r="P217" s="125">
        <f t="shared" si="23"/>
        <v>3.899</v>
      </c>
    </row>
    <row r="218" spans="2:31" ht="15" customHeight="1" x14ac:dyDescent="0.3">
      <c r="B218" s="104">
        <v>3</v>
      </c>
      <c r="C218" s="105" t="s">
        <v>1063</v>
      </c>
      <c r="D218" s="106" t="s">
        <v>1064</v>
      </c>
      <c r="E218" s="106"/>
      <c r="F218" s="106"/>
      <c r="G218" s="106"/>
      <c r="H218" s="107">
        <v>1372.13</v>
      </c>
      <c r="I218" s="107">
        <v>1390.13</v>
      </c>
      <c r="J218" s="107" t="s">
        <v>993</v>
      </c>
      <c r="K218" s="104">
        <v>4</v>
      </c>
      <c r="L218" s="116" t="s">
        <v>1008</v>
      </c>
      <c r="M218" s="156"/>
      <c r="N218" s="117"/>
      <c r="O218" s="157">
        <v>1128.7577499999998</v>
      </c>
      <c r="P218" s="111">
        <f t="shared" si="23"/>
        <v>4.5149999999999997</v>
      </c>
    </row>
    <row r="219" spans="2:31" ht="15" customHeight="1" x14ac:dyDescent="0.3">
      <c r="B219" s="56">
        <v>3</v>
      </c>
      <c r="C219" s="53" t="s">
        <v>1063</v>
      </c>
      <c r="D219" s="54" t="s">
        <v>1064</v>
      </c>
      <c r="E219" s="54"/>
      <c r="F219" s="54"/>
      <c r="G219" s="54"/>
      <c r="H219" s="55">
        <v>1372.13</v>
      </c>
      <c r="I219" s="55">
        <v>1390.13</v>
      </c>
      <c r="J219" s="55" t="s">
        <v>993</v>
      </c>
      <c r="K219" s="56">
        <v>4</v>
      </c>
      <c r="L219" s="66" t="s">
        <v>1009</v>
      </c>
      <c r="M219" s="67"/>
      <c r="N219" s="68"/>
      <c r="O219" s="91">
        <v>1154.6827999999998</v>
      </c>
      <c r="P219" s="62">
        <f t="shared" si="23"/>
        <v>4.6189999999999998</v>
      </c>
    </row>
    <row r="220" spans="2:31" ht="15" customHeight="1" x14ac:dyDescent="0.3">
      <c r="B220" s="56">
        <v>3</v>
      </c>
      <c r="C220" s="53" t="s">
        <v>1063</v>
      </c>
      <c r="D220" s="54" t="s">
        <v>1064</v>
      </c>
      <c r="E220" s="54"/>
      <c r="F220" s="54"/>
      <c r="G220" s="54"/>
      <c r="H220" s="55">
        <v>1372.13</v>
      </c>
      <c r="I220" s="55">
        <v>1390.13</v>
      </c>
      <c r="J220" s="55" t="s">
        <v>993</v>
      </c>
      <c r="K220" s="56">
        <v>4</v>
      </c>
      <c r="L220" s="66" t="s">
        <v>1010</v>
      </c>
      <c r="M220" s="67"/>
      <c r="N220" s="68"/>
      <c r="O220" s="91">
        <v>1189.8641499999997</v>
      </c>
      <c r="P220" s="62">
        <f t="shared" si="23"/>
        <v>4.7590000000000003</v>
      </c>
    </row>
    <row r="221" spans="2:31" ht="15" customHeight="1" x14ac:dyDescent="0.3">
      <c r="B221" s="56">
        <v>3</v>
      </c>
      <c r="C221" s="53" t="s">
        <v>1063</v>
      </c>
      <c r="D221" s="54" t="s">
        <v>1064</v>
      </c>
      <c r="E221" s="54"/>
      <c r="F221" s="54"/>
      <c r="G221" s="54"/>
      <c r="H221" s="55">
        <v>1372.13</v>
      </c>
      <c r="I221" s="55">
        <v>1390.13</v>
      </c>
      <c r="J221" s="55" t="s">
        <v>993</v>
      </c>
      <c r="K221" s="56">
        <v>4</v>
      </c>
      <c r="L221" s="66" t="s">
        <v>1011</v>
      </c>
      <c r="M221" s="67"/>
      <c r="N221" s="68"/>
      <c r="O221" s="91">
        <v>1230.2123499999998</v>
      </c>
      <c r="P221" s="62">
        <f t="shared" si="23"/>
        <v>4.9210000000000003</v>
      </c>
    </row>
    <row r="222" spans="2:31" ht="15" customHeight="1" x14ac:dyDescent="0.3">
      <c r="B222" s="56">
        <v>3</v>
      </c>
      <c r="C222" s="53" t="s">
        <v>1063</v>
      </c>
      <c r="D222" s="54" t="s">
        <v>1064</v>
      </c>
      <c r="E222" s="54"/>
      <c r="F222" s="54"/>
      <c r="G222" s="54"/>
      <c r="H222" s="55">
        <v>1372.13</v>
      </c>
      <c r="I222" s="55">
        <v>1390.13</v>
      </c>
      <c r="J222" s="55" t="s">
        <v>993</v>
      </c>
      <c r="K222" s="56">
        <v>4</v>
      </c>
      <c r="L222" s="66" t="s">
        <v>1012</v>
      </c>
      <c r="M222" s="67"/>
      <c r="N222" s="68"/>
      <c r="O222" s="91">
        <v>1263.5931555555555</v>
      </c>
      <c r="P222" s="62">
        <f t="shared" si="23"/>
        <v>5.0540000000000003</v>
      </c>
    </row>
    <row r="223" spans="2:31" ht="15" customHeight="1" x14ac:dyDescent="0.3">
      <c r="B223" s="118">
        <v>3</v>
      </c>
      <c r="C223" s="119" t="s">
        <v>1063</v>
      </c>
      <c r="D223" s="120" t="s">
        <v>1064</v>
      </c>
      <c r="E223" s="120"/>
      <c r="F223" s="120"/>
      <c r="G223" s="120"/>
      <c r="H223" s="121">
        <v>1372.13</v>
      </c>
      <c r="I223" s="121">
        <v>1390.13</v>
      </c>
      <c r="J223" s="121" t="s">
        <v>993</v>
      </c>
      <c r="K223" s="118">
        <v>4</v>
      </c>
      <c r="L223" s="122" t="s">
        <v>1013</v>
      </c>
      <c r="M223" s="158"/>
      <c r="N223" s="123"/>
      <c r="O223" s="159">
        <v>1299.5360499999999</v>
      </c>
      <c r="P223" s="125">
        <f t="shared" si="23"/>
        <v>5.1980000000000004</v>
      </c>
    </row>
    <row r="224" spans="2:31" ht="15" customHeight="1" x14ac:dyDescent="0.3">
      <c r="B224" s="96">
        <v>3</v>
      </c>
      <c r="C224" s="97" t="s">
        <v>1075</v>
      </c>
      <c r="D224" s="98" t="s">
        <v>1076</v>
      </c>
      <c r="E224" s="98"/>
      <c r="F224" s="98"/>
      <c r="G224" s="98"/>
      <c r="H224" s="99">
        <v>1390.13</v>
      </c>
      <c r="I224" s="99">
        <v>1404.56</v>
      </c>
      <c r="J224" s="99" t="s">
        <v>993</v>
      </c>
      <c r="K224" s="96">
        <v>3</v>
      </c>
      <c r="L224" s="114" t="s">
        <v>1008</v>
      </c>
      <c r="M224" s="155"/>
      <c r="N224" s="115"/>
      <c r="O224" s="91">
        <v>1128.7577499999998</v>
      </c>
      <c r="P224" s="103">
        <f t="shared" si="23"/>
        <v>3.3860000000000001</v>
      </c>
    </row>
    <row r="225" spans="2:16" ht="15" customHeight="1" x14ac:dyDescent="0.3">
      <c r="B225" s="56">
        <v>3</v>
      </c>
      <c r="C225" s="53" t="s">
        <v>1075</v>
      </c>
      <c r="D225" s="54" t="s">
        <v>1076</v>
      </c>
      <c r="E225" s="54"/>
      <c r="F225" s="54"/>
      <c r="G225" s="54"/>
      <c r="H225" s="55">
        <v>1390.13</v>
      </c>
      <c r="I225" s="55">
        <v>1404.56</v>
      </c>
      <c r="J225" s="55" t="s">
        <v>993</v>
      </c>
      <c r="K225" s="56">
        <v>3</v>
      </c>
      <c r="L225" s="66" t="s">
        <v>1009</v>
      </c>
      <c r="M225" s="67"/>
      <c r="N225" s="68"/>
      <c r="O225" s="91">
        <v>1154.6827999999998</v>
      </c>
      <c r="P225" s="62">
        <f t="shared" si="23"/>
        <v>3.464</v>
      </c>
    </row>
    <row r="226" spans="2:16" ht="15" customHeight="1" x14ac:dyDescent="0.3">
      <c r="B226" s="56">
        <v>3</v>
      </c>
      <c r="C226" s="53" t="s">
        <v>1075</v>
      </c>
      <c r="D226" s="54" t="s">
        <v>1076</v>
      </c>
      <c r="E226" s="54"/>
      <c r="F226" s="54"/>
      <c r="G226" s="54"/>
      <c r="H226" s="55">
        <v>1390.13</v>
      </c>
      <c r="I226" s="55">
        <v>1404.56</v>
      </c>
      <c r="J226" s="55" t="s">
        <v>993</v>
      </c>
      <c r="K226" s="56">
        <v>3</v>
      </c>
      <c r="L226" s="66" t="s">
        <v>1010</v>
      </c>
      <c r="M226" s="67"/>
      <c r="N226" s="68"/>
      <c r="O226" s="91">
        <v>1189.8641499999997</v>
      </c>
      <c r="P226" s="62">
        <f t="shared" si="23"/>
        <v>3.57</v>
      </c>
    </row>
    <row r="227" spans="2:16" ht="15" customHeight="1" x14ac:dyDescent="0.3">
      <c r="B227" s="56">
        <v>3</v>
      </c>
      <c r="C227" s="53" t="s">
        <v>1075</v>
      </c>
      <c r="D227" s="54" t="s">
        <v>1076</v>
      </c>
      <c r="E227" s="54"/>
      <c r="F227" s="54"/>
      <c r="G227" s="54"/>
      <c r="H227" s="55">
        <v>1390.13</v>
      </c>
      <c r="I227" s="55">
        <v>1404.56</v>
      </c>
      <c r="J227" s="55" t="s">
        <v>993</v>
      </c>
      <c r="K227" s="56">
        <v>3</v>
      </c>
      <c r="L227" s="66" t="s">
        <v>1011</v>
      </c>
      <c r="M227" s="67"/>
      <c r="N227" s="68"/>
      <c r="O227" s="91">
        <v>1230.2123499999998</v>
      </c>
      <c r="P227" s="62">
        <f t="shared" si="23"/>
        <v>3.6909999999999998</v>
      </c>
    </row>
    <row r="228" spans="2:16" ht="15" customHeight="1" x14ac:dyDescent="0.3">
      <c r="B228" s="56">
        <v>3</v>
      </c>
      <c r="C228" s="53" t="s">
        <v>1075</v>
      </c>
      <c r="D228" s="54" t="s">
        <v>1076</v>
      </c>
      <c r="E228" s="54"/>
      <c r="F228" s="54"/>
      <c r="G228" s="54"/>
      <c r="H228" s="55">
        <v>1390.13</v>
      </c>
      <c r="I228" s="55">
        <v>1404.56</v>
      </c>
      <c r="J228" s="55" t="s">
        <v>993</v>
      </c>
      <c r="K228" s="56">
        <v>3</v>
      </c>
      <c r="L228" s="66" t="s">
        <v>1012</v>
      </c>
      <c r="M228" s="67"/>
      <c r="N228" s="68"/>
      <c r="O228" s="91">
        <v>1263.5931555555555</v>
      </c>
      <c r="P228" s="62">
        <f t="shared" si="23"/>
        <v>3.7909999999999999</v>
      </c>
    </row>
    <row r="229" spans="2:16" ht="15" customHeight="1" x14ac:dyDescent="0.3">
      <c r="B229" s="56">
        <v>3</v>
      </c>
      <c r="C229" s="53" t="s">
        <v>1075</v>
      </c>
      <c r="D229" s="54" t="s">
        <v>1076</v>
      </c>
      <c r="E229" s="54"/>
      <c r="F229" s="54"/>
      <c r="G229" s="54"/>
      <c r="H229" s="55">
        <v>1390.13</v>
      </c>
      <c r="I229" s="55">
        <v>1404.56</v>
      </c>
      <c r="J229" s="55" t="s">
        <v>993</v>
      </c>
      <c r="K229" s="56">
        <v>4</v>
      </c>
      <c r="L229" s="66" t="s">
        <v>1013</v>
      </c>
      <c r="M229" s="67"/>
      <c r="N229" s="68"/>
      <c r="O229" s="91">
        <v>1299.5360499999999</v>
      </c>
      <c r="P229" s="62">
        <f t="shared" si="23"/>
        <v>5.1980000000000004</v>
      </c>
    </row>
    <row r="230" spans="2:16" ht="15" customHeight="1" x14ac:dyDescent="0.3">
      <c r="B230" s="51" t="s">
        <v>1016</v>
      </c>
      <c r="C230" s="78"/>
      <c r="D230" s="45"/>
      <c r="E230" s="45"/>
      <c r="F230" s="45"/>
      <c r="G230" s="45"/>
      <c r="H230" s="46"/>
      <c r="I230" s="46"/>
      <c r="J230" s="46"/>
      <c r="K230" s="47"/>
      <c r="L230" s="47"/>
      <c r="M230" s="48"/>
      <c r="N230" s="48"/>
      <c r="O230" s="49"/>
      <c r="P230" s="50"/>
    </row>
    <row r="231" spans="2:16" ht="15" customHeight="1" x14ac:dyDescent="0.3">
      <c r="B231" s="93" t="s">
        <v>981</v>
      </c>
      <c r="C231" s="93" t="s">
        <v>991</v>
      </c>
      <c r="D231" s="94" t="s">
        <v>990</v>
      </c>
      <c r="E231" s="94"/>
      <c r="F231" s="94"/>
      <c r="G231" s="94"/>
      <c r="H231" s="93" t="s">
        <v>988</v>
      </c>
      <c r="I231" s="93" t="s">
        <v>987</v>
      </c>
      <c r="J231" s="93" t="s">
        <v>992</v>
      </c>
      <c r="K231" s="93" t="s">
        <v>989</v>
      </c>
      <c r="L231" s="152" t="s">
        <v>12</v>
      </c>
      <c r="M231" s="153"/>
      <c r="N231" s="154"/>
      <c r="O231" s="95" t="s">
        <v>995</v>
      </c>
      <c r="P231" s="95" t="s">
        <v>14</v>
      </c>
    </row>
    <row r="232" spans="2:16" ht="15" customHeight="1" x14ac:dyDescent="0.3">
      <c r="B232" s="104">
        <v>3</v>
      </c>
      <c r="C232" s="105" t="s">
        <v>1059</v>
      </c>
      <c r="D232" s="106" t="s">
        <v>1060</v>
      </c>
      <c r="E232" s="106"/>
      <c r="F232" s="106"/>
      <c r="G232" s="106"/>
      <c r="H232" s="107">
        <v>1358.63</v>
      </c>
      <c r="I232" s="107">
        <v>1366.13</v>
      </c>
      <c r="J232" s="107" t="s">
        <v>1006</v>
      </c>
      <c r="K232" s="104">
        <v>2</v>
      </c>
      <c r="L232" s="116" t="s">
        <v>1024</v>
      </c>
      <c r="M232" s="156"/>
      <c r="N232" s="117"/>
      <c r="O232" s="157">
        <v>275.25959999999998</v>
      </c>
      <c r="P232" s="111">
        <f t="shared" ref="P232:P255" si="24">+ROUND(K232*O232/1000,3)</f>
        <v>0.55100000000000005</v>
      </c>
    </row>
    <row r="233" spans="2:16" ht="15" customHeight="1" x14ac:dyDescent="0.3">
      <c r="B233" s="56">
        <v>3</v>
      </c>
      <c r="C233" s="53" t="s">
        <v>1059</v>
      </c>
      <c r="D233" s="54" t="s">
        <v>1060</v>
      </c>
      <c r="E233" s="54"/>
      <c r="F233" s="54"/>
      <c r="G233" s="54"/>
      <c r="H233" s="55">
        <v>1358.63</v>
      </c>
      <c r="I233" s="55">
        <v>1366.13</v>
      </c>
      <c r="J233" s="55" t="s">
        <v>1006</v>
      </c>
      <c r="K233" s="56">
        <v>2</v>
      </c>
      <c r="L233" s="66" t="s">
        <v>1026</v>
      </c>
      <c r="M233" s="67"/>
      <c r="N233" s="68"/>
      <c r="O233" s="91">
        <v>286.42080000000004</v>
      </c>
      <c r="P233" s="62">
        <f t="shared" si="24"/>
        <v>0.57299999999999995</v>
      </c>
    </row>
    <row r="234" spans="2:16" ht="15" customHeight="1" x14ac:dyDescent="0.3">
      <c r="B234" s="56">
        <v>3</v>
      </c>
      <c r="C234" s="53" t="s">
        <v>1059</v>
      </c>
      <c r="D234" s="54" t="s">
        <v>1060</v>
      </c>
      <c r="E234" s="54"/>
      <c r="F234" s="54"/>
      <c r="G234" s="54"/>
      <c r="H234" s="55">
        <v>1358.63</v>
      </c>
      <c r="I234" s="55">
        <v>1366.13</v>
      </c>
      <c r="J234" s="55" t="s">
        <v>1006</v>
      </c>
      <c r="K234" s="56">
        <v>2</v>
      </c>
      <c r="L234" s="66" t="s">
        <v>1027</v>
      </c>
      <c r="M234" s="67"/>
      <c r="N234" s="68"/>
      <c r="O234" s="91">
        <v>295.28160000000003</v>
      </c>
      <c r="P234" s="62">
        <f t="shared" si="24"/>
        <v>0.59099999999999997</v>
      </c>
    </row>
    <row r="235" spans="2:16" ht="15" customHeight="1" x14ac:dyDescent="0.3">
      <c r="B235" s="56">
        <v>3</v>
      </c>
      <c r="C235" s="53" t="s">
        <v>1059</v>
      </c>
      <c r="D235" s="54" t="s">
        <v>1060</v>
      </c>
      <c r="E235" s="54"/>
      <c r="F235" s="54"/>
      <c r="G235" s="54"/>
      <c r="H235" s="55">
        <v>1358.63</v>
      </c>
      <c r="I235" s="55">
        <v>1366.13</v>
      </c>
      <c r="J235" s="55" t="s">
        <v>1006</v>
      </c>
      <c r="K235" s="56">
        <v>2</v>
      </c>
      <c r="L235" s="66" t="s">
        <v>1028</v>
      </c>
      <c r="M235" s="67"/>
      <c r="N235" s="68"/>
      <c r="O235" s="91">
        <v>301.24560000000002</v>
      </c>
      <c r="P235" s="62">
        <f t="shared" si="24"/>
        <v>0.60199999999999998</v>
      </c>
    </row>
    <row r="236" spans="2:16" ht="15" customHeight="1" x14ac:dyDescent="0.3">
      <c r="B236" s="56">
        <v>3</v>
      </c>
      <c r="C236" s="53" t="s">
        <v>1059</v>
      </c>
      <c r="D236" s="54" t="s">
        <v>1060</v>
      </c>
      <c r="E236" s="54"/>
      <c r="F236" s="54"/>
      <c r="G236" s="54"/>
      <c r="H236" s="55">
        <v>1358.63</v>
      </c>
      <c r="I236" s="55">
        <v>1366.13</v>
      </c>
      <c r="J236" s="55" t="s">
        <v>1006</v>
      </c>
      <c r="K236" s="56">
        <v>1</v>
      </c>
      <c r="L236" s="66" t="s">
        <v>1029</v>
      </c>
      <c r="M236" s="67"/>
      <c r="N236" s="68"/>
      <c r="O236" s="91">
        <v>307.7208</v>
      </c>
      <c r="P236" s="62">
        <f t="shared" si="24"/>
        <v>0.308</v>
      </c>
    </row>
    <row r="237" spans="2:16" ht="15" customHeight="1" x14ac:dyDescent="0.3">
      <c r="B237" s="118">
        <v>3</v>
      </c>
      <c r="C237" s="119" t="s">
        <v>1059</v>
      </c>
      <c r="D237" s="120" t="s">
        <v>1060</v>
      </c>
      <c r="E237" s="120"/>
      <c r="F237" s="120"/>
      <c r="G237" s="120"/>
      <c r="H237" s="121">
        <v>1358.63</v>
      </c>
      <c r="I237" s="121">
        <v>1366.13</v>
      </c>
      <c r="J237" s="121" t="s">
        <v>1006</v>
      </c>
      <c r="K237" s="118">
        <v>1</v>
      </c>
      <c r="L237" s="122" t="s">
        <v>1025</v>
      </c>
      <c r="M237" s="158"/>
      <c r="N237" s="123"/>
      <c r="O237" s="159">
        <v>315.89999999999998</v>
      </c>
      <c r="P237" s="125">
        <f t="shared" si="24"/>
        <v>0.316</v>
      </c>
    </row>
    <row r="238" spans="2:16" ht="15" customHeight="1" x14ac:dyDescent="0.3">
      <c r="B238" s="104">
        <v>3</v>
      </c>
      <c r="C238" s="105" t="s">
        <v>1063</v>
      </c>
      <c r="D238" s="106" t="s">
        <v>1064</v>
      </c>
      <c r="E238" s="106"/>
      <c r="F238" s="106"/>
      <c r="G238" s="106"/>
      <c r="H238" s="107">
        <v>1366.13</v>
      </c>
      <c r="I238" s="107">
        <v>1384.88</v>
      </c>
      <c r="J238" s="107" t="s">
        <v>1006</v>
      </c>
      <c r="K238" s="104">
        <v>4</v>
      </c>
      <c r="L238" s="116" t="s">
        <v>1024</v>
      </c>
      <c r="M238" s="156"/>
      <c r="N238" s="117"/>
      <c r="O238" s="157">
        <v>275.25959999999998</v>
      </c>
      <c r="P238" s="111">
        <f t="shared" si="24"/>
        <v>1.101</v>
      </c>
    </row>
    <row r="239" spans="2:16" ht="15" customHeight="1" x14ac:dyDescent="0.3">
      <c r="B239" s="56">
        <v>3</v>
      </c>
      <c r="C239" s="53" t="s">
        <v>1063</v>
      </c>
      <c r="D239" s="54" t="s">
        <v>1064</v>
      </c>
      <c r="E239" s="54"/>
      <c r="F239" s="54"/>
      <c r="G239" s="54"/>
      <c r="H239" s="55">
        <v>1366.13</v>
      </c>
      <c r="I239" s="55">
        <v>1384.88</v>
      </c>
      <c r="J239" s="55" t="s">
        <v>1006</v>
      </c>
      <c r="K239" s="56">
        <v>4</v>
      </c>
      <c r="L239" s="66" t="s">
        <v>1026</v>
      </c>
      <c r="M239" s="67"/>
      <c r="N239" s="68"/>
      <c r="O239" s="91">
        <v>286.42080000000004</v>
      </c>
      <c r="P239" s="62">
        <f t="shared" si="24"/>
        <v>1.1459999999999999</v>
      </c>
    </row>
    <row r="240" spans="2:16" ht="15" customHeight="1" x14ac:dyDescent="0.3">
      <c r="B240" s="56">
        <v>3</v>
      </c>
      <c r="C240" s="53" t="s">
        <v>1063</v>
      </c>
      <c r="D240" s="54" t="s">
        <v>1064</v>
      </c>
      <c r="E240" s="54"/>
      <c r="F240" s="54"/>
      <c r="G240" s="54"/>
      <c r="H240" s="55">
        <v>1366.13</v>
      </c>
      <c r="I240" s="55">
        <v>1384.88</v>
      </c>
      <c r="J240" s="55" t="s">
        <v>1006</v>
      </c>
      <c r="K240" s="56">
        <v>4</v>
      </c>
      <c r="L240" s="66" t="s">
        <v>1027</v>
      </c>
      <c r="M240" s="67"/>
      <c r="N240" s="68"/>
      <c r="O240" s="91">
        <v>295.28160000000003</v>
      </c>
      <c r="P240" s="62">
        <f t="shared" si="24"/>
        <v>1.181</v>
      </c>
    </row>
    <row r="241" spans="2:16" ht="15" customHeight="1" x14ac:dyDescent="0.3">
      <c r="B241" s="56">
        <v>3</v>
      </c>
      <c r="C241" s="53" t="s">
        <v>1063</v>
      </c>
      <c r="D241" s="54" t="s">
        <v>1064</v>
      </c>
      <c r="E241" s="54"/>
      <c r="F241" s="54"/>
      <c r="G241" s="54"/>
      <c r="H241" s="55">
        <v>1366.13</v>
      </c>
      <c r="I241" s="55">
        <v>1384.88</v>
      </c>
      <c r="J241" s="55" t="s">
        <v>1006</v>
      </c>
      <c r="K241" s="56">
        <v>4</v>
      </c>
      <c r="L241" s="66" t="s">
        <v>1028</v>
      </c>
      <c r="M241" s="67"/>
      <c r="N241" s="68"/>
      <c r="O241" s="91">
        <v>301.24560000000002</v>
      </c>
      <c r="P241" s="62">
        <f t="shared" si="24"/>
        <v>1.2050000000000001</v>
      </c>
    </row>
    <row r="242" spans="2:16" ht="15" customHeight="1" x14ac:dyDescent="0.3">
      <c r="B242" s="56">
        <v>3</v>
      </c>
      <c r="C242" s="53" t="s">
        <v>1063</v>
      </c>
      <c r="D242" s="54" t="s">
        <v>1064</v>
      </c>
      <c r="E242" s="54"/>
      <c r="F242" s="54"/>
      <c r="G242" s="54"/>
      <c r="H242" s="55">
        <v>1366.13</v>
      </c>
      <c r="I242" s="55">
        <v>1384.88</v>
      </c>
      <c r="J242" s="55" t="s">
        <v>1006</v>
      </c>
      <c r="K242" s="56">
        <v>5</v>
      </c>
      <c r="L242" s="66" t="s">
        <v>1029</v>
      </c>
      <c r="M242" s="67"/>
      <c r="N242" s="68"/>
      <c r="O242" s="91">
        <v>307.7208</v>
      </c>
      <c r="P242" s="62">
        <f t="shared" si="24"/>
        <v>1.5389999999999999</v>
      </c>
    </row>
    <row r="243" spans="2:16" ht="15" customHeight="1" x14ac:dyDescent="0.3">
      <c r="B243" s="118">
        <v>3</v>
      </c>
      <c r="C243" s="119" t="s">
        <v>1063</v>
      </c>
      <c r="D243" s="120" t="s">
        <v>1064</v>
      </c>
      <c r="E243" s="120"/>
      <c r="F243" s="120"/>
      <c r="G243" s="120"/>
      <c r="H243" s="121">
        <v>1366.13</v>
      </c>
      <c r="I243" s="121">
        <v>1384.88</v>
      </c>
      <c r="J243" s="121" t="s">
        <v>1006</v>
      </c>
      <c r="K243" s="118">
        <v>4</v>
      </c>
      <c r="L243" s="122" t="s">
        <v>1025</v>
      </c>
      <c r="M243" s="158"/>
      <c r="N243" s="123"/>
      <c r="O243" s="159">
        <v>315.89999999999998</v>
      </c>
      <c r="P243" s="125">
        <f t="shared" si="24"/>
        <v>1.264</v>
      </c>
    </row>
    <row r="244" spans="2:16" ht="15" customHeight="1" x14ac:dyDescent="0.3">
      <c r="B244" s="104">
        <v>3</v>
      </c>
      <c r="C244" s="105" t="s">
        <v>1075</v>
      </c>
      <c r="D244" s="106" t="s">
        <v>1076</v>
      </c>
      <c r="E244" s="106"/>
      <c r="F244" s="106"/>
      <c r="G244" s="106"/>
      <c r="H244" s="107">
        <v>1384.88</v>
      </c>
      <c r="I244" s="107">
        <v>1398.38</v>
      </c>
      <c r="J244" s="107" t="s">
        <v>1006</v>
      </c>
      <c r="K244" s="104">
        <v>3</v>
      </c>
      <c r="L244" s="116" t="s">
        <v>1024</v>
      </c>
      <c r="M244" s="156"/>
      <c r="N244" s="117"/>
      <c r="O244" s="157">
        <v>275.25959999999998</v>
      </c>
      <c r="P244" s="111">
        <f t="shared" si="24"/>
        <v>0.82599999999999996</v>
      </c>
    </row>
    <row r="245" spans="2:16" ht="15" customHeight="1" x14ac:dyDescent="0.3">
      <c r="B245" s="56">
        <v>3</v>
      </c>
      <c r="C245" s="53" t="s">
        <v>1075</v>
      </c>
      <c r="D245" s="54" t="s">
        <v>1076</v>
      </c>
      <c r="E245" s="54"/>
      <c r="F245" s="54"/>
      <c r="G245" s="54"/>
      <c r="H245" s="55">
        <v>1384.88</v>
      </c>
      <c r="I245" s="55">
        <v>1398.38</v>
      </c>
      <c r="J245" s="55" t="s">
        <v>1006</v>
      </c>
      <c r="K245" s="56">
        <v>3</v>
      </c>
      <c r="L245" s="66" t="s">
        <v>1026</v>
      </c>
      <c r="M245" s="67"/>
      <c r="N245" s="68"/>
      <c r="O245" s="91">
        <v>286.42080000000004</v>
      </c>
      <c r="P245" s="62">
        <f t="shared" si="24"/>
        <v>0.85899999999999999</v>
      </c>
    </row>
    <row r="246" spans="2:16" ht="15" customHeight="1" x14ac:dyDescent="0.3">
      <c r="B246" s="56">
        <v>3</v>
      </c>
      <c r="C246" s="53" t="s">
        <v>1075</v>
      </c>
      <c r="D246" s="54" t="s">
        <v>1076</v>
      </c>
      <c r="E246" s="54"/>
      <c r="F246" s="54"/>
      <c r="G246" s="54"/>
      <c r="H246" s="55">
        <v>1384.88</v>
      </c>
      <c r="I246" s="55">
        <v>1398.38</v>
      </c>
      <c r="J246" s="55" t="s">
        <v>1006</v>
      </c>
      <c r="K246" s="56">
        <v>3</v>
      </c>
      <c r="L246" s="66" t="s">
        <v>1027</v>
      </c>
      <c r="M246" s="67"/>
      <c r="N246" s="68"/>
      <c r="O246" s="91">
        <v>295.28160000000003</v>
      </c>
      <c r="P246" s="62">
        <f t="shared" si="24"/>
        <v>0.88600000000000001</v>
      </c>
    </row>
    <row r="247" spans="2:16" ht="15" customHeight="1" x14ac:dyDescent="0.3">
      <c r="B247" s="56">
        <v>3</v>
      </c>
      <c r="C247" s="53" t="s">
        <v>1075</v>
      </c>
      <c r="D247" s="54" t="s">
        <v>1076</v>
      </c>
      <c r="E247" s="54"/>
      <c r="F247" s="54"/>
      <c r="G247" s="54"/>
      <c r="H247" s="55">
        <v>1384.88</v>
      </c>
      <c r="I247" s="55">
        <v>1398.38</v>
      </c>
      <c r="J247" s="55" t="s">
        <v>1006</v>
      </c>
      <c r="K247" s="56">
        <v>3</v>
      </c>
      <c r="L247" s="66" t="s">
        <v>1028</v>
      </c>
      <c r="M247" s="67"/>
      <c r="N247" s="68"/>
      <c r="O247" s="91">
        <v>301.24560000000002</v>
      </c>
      <c r="P247" s="62">
        <f t="shared" si="24"/>
        <v>0.90400000000000003</v>
      </c>
    </row>
    <row r="248" spans="2:16" ht="15" customHeight="1" x14ac:dyDescent="0.3">
      <c r="B248" s="56">
        <v>3</v>
      </c>
      <c r="C248" s="53" t="s">
        <v>1075</v>
      </c>
      <c r="D248" s="54" t="s">
        <v>1076</v>
      </c>
      <c r="E248" s="54"/>
      <c r="F248" s="54"/>
      <c r="G248" s="54"/>
      <c r="H248" s="55">
        <v>1384.88</v>
      </c>
      <c r="I248" s="55">
        <v>1398.38</v>
      </c>
      <c r="J248" s="55" t="s">
        <v>1006</v>
      </c>
      <c r="K248" s="56">
        <v>3</v>
      </c>
      <c r="L248" s="66" t="s">
        <v>1029</v>
      </c>
      <c r="M248" s="67"/>
      <c r="N248" s="68"/>
      <c r="O248" s="91">
        <v>307.7208</v>
      </c>
      <c r="P248" s="62">
        <f t="shared" si="24"/>
        <v>0.92300000000000004</v>
      </c>
    </row>
    <row r="249" spans="2:16" ht="15" customHeight="1" x14ac:dyDescent="0.3">
      <c r="B249" s="118">
        <v>3</v>
      </c>
      <c r="C249" s="119" t="s">
        <v>1075</v>
      </c>
      <c r="D249" s="120" t="s">
        <v>1076</v>
      </c>
      <c r="E249" s="120"/>
      <c r="F249" s="120"/>
      <c r="G249" s="120"/>
      <c r="H249" s="121">
        <v>1384.88</v>
      </c>
      <c r="I249" s="121">
        <v>1398.38</v>
      </c>
      <c r="J249" s="121" t="s">
        <v>1006</v>
      </c>
      <c r="K249" s="118">
        <v>3</v>
      </c>
      <c r="L249" s="122" t="s">
        <v>1025</v>
      </c>
      <c r="M249" s="158"/>
      <c r="N249" s="123"/>
      <c r="O249" s="159">
        <v>315.89999999999998</v>
      </c>
      <c r="P249" s="125">
        <f t="shared" si="24"/>
        <v>0.94799999999999995</v>
      </c>
    </row>
    <row r="250" spans="2:16" ht="15" customHeight="1" x14ac:dyDescent="0.3">
      <c r="B250" s="96">
        <v>4</v>
      </c>
      <c r="C250" s="97" t="s">
        <v>1081</v>
      </c>
      <c r="D250" s="98" t="s">
        <v>1082</v>
      </c>
      <c r="E250" s="98"/>
      <c r="F250" s="98"/>
      <c r="G250" s="98"/>
      <c r="H250" s="99">
        <v>1398.38</v>
      </c>
      <c r="I250" s="99">
        <v>1404.56</v>
      </c>
      <c r="J250" s="99" t="s">
        <v>1006</v>
      </c>
      <c r="K250" s="96">
        <v>1</v>
      </c>
      <c r="L250" s="114" t="s">
        <v>1024</v>
      </c>
      <c r="M250" s="155"/>
      <c r="N250" s="115"/>
      <c r="O250" s="91">
        <v>275.25959999999998</v>
      </c>
      <c r="P250" s="103">
        <f t="shared" si="24"/>
        <v>0.27500000000000002</v>
      </c>
    </row>
    <row r="251" spans="2:16" ht="15" customHeight="1" x14ac:dyDescent="0.3">
      <c r="B251" s="56">
        <v>4</v>
      </c>
      <c r="C251" s="53" t="s">
        <v>1081</v>
      </c>
      <c r="D251" s="54" t="s">
        <v>1082</v>
      </c>
      <c r="E251" s="54"/>
      <c r="F251" s="54"/>
      <c r="G251" s="54"/>
      <c r="H251" s="55">
        <v>1398.38</v>
      </c>
      <c r="I251" s="55">
        <v>1404.56</v>
      </c>
      <c r="J251" s="55" t="s">
        <v>1006</v>
      </c>
      <c r="K251" s="56">
        <v>1</v>
      </c>
      <c r="L251" s="66" t="s">
        <v>1026</v>
      </c>
      <c r="M251" s="67"/>
      <c r="N251" s="68"/>
      <c r="O251" s="91">
        <v>286.42080000000004</v>
      </c>
      <c r="P251" s="62">
        <f t="shared" si="24"/>
        <v>0.28599999999999998</v>
      </c>
    </row>
    <row r="252" spans="2:16" ht="15" customHeight="1" x14ac:dyDescent="0.3">
      <c r="B252" s="56">
        <v>4</v>
      </c>
      <c r="C252" s="53" t="s">
        <v>1081</v>
      </c>
      <c r="D252" s="54" t="s">
        <v>1082</v>
      </c>
      <c r="E252" s="54"/>
      <c r="F252" s="54"/>
      <c r="G252" s="54"/>
      <c r="H252" s="55">
        <v>1398.38</v>
      </c>
      <c r="I252" s="55">
        <v>1404.56</v>
      </c>
      <c r="J252" s="55" t="s">
        <v>1006</v>
      </c>
      <c r="K252" s="56">
        <v>1</v>
      </c>
      <c r="L252" s="66" t="s">
        <v>1027</v>
      </c>
      <c r="M252" s="67"/>
      <c r="N252" s="68"/>
      <c r="O252" s="91">
        <v>295.28160000000003</v>
      </c>
      <c r="P252" s="62">
        <f t="shared" si="24"/>
        <v>0.29499999999999998</v>
      </c>
    </row>
    <row r="253" spans="2:16" ht="15" customHeight="1" x14ac:dyDescent="0.3">
      <c r="B253" s="56">
        <v>4</v>
      </c>
      <c r="C253" s="53" t="s">
        <v>1081</v>
      </c>
      <c r="D253" s="54" t="s">
        <v>1082</v>
      </c>
      <c r="E253" s="54"/>
      <c r="F253" s="54"/>
      <c r="G253" s="54"/>
      <c r="H253" s="55">
        <v>1398.38</v>
      </c>
      <c r="I253" s="55">
        <v>1404.56</v>
      </c>
      <c r="J253" s="55" t="s">
        <v>1006</v>
      </c>
      <c r="K253" s="56">
        <v>1</v>
      </c>
      <c r="L253" s="66" t="s">
        <v>1028</v>
      </c>
      <c r="M253" s="67"/>
      <c r="N253" s="68"/>
      <c r="O253" s="91">
        <v>301.24560000000002</v>
      </c>
      <c r="P253" s="62">
        <f t="shared" si="24"/>
        <v>0.30099999999999999</v>
      </c>
    </row>
    <row r="254" spans="2:16" ht="15" customHeight="1" x14ac:dyDescent="0.3">
      <c r="B254" s="56">
        <v>4</v>
      </c>
      <c r="C254" s="53" t="s">
        <v>1081</v>
      </c>
      <c r="D254" s="54" t="s">
        <v>1082</v>
      </c>
      <c r="E254" s="54"/>
      <c r="F254" s="54"/>
      <c r="G254" s="54"/>
      <c r="H254" s="55">
        <v>1398.38</v>
      </c>
      <c r="I254" s="55">
        <v>1404.56</v>
      </c>
      <c r="J254" s="55" t="s">
        <v>1006</v>
      </c>
      <c r="K254" s="56">
        <v>1</v>
      </c>
      <c r="L254" s="66" t="s">
        <v>1029</v>
      </c>
      <c r="M254" s="67"/>
      <c r="N254" s="68"/>
      <c r="O254" s="91">
        <v>307.7208</v>
      </c>
      <c r="P254" s="62">
        <f t="shared" si="24"/>
        <v>0.308</v>
      </c>
    </row>
    <row r="255" spans="2:16" ht="15" customHeight="1" x14ac:dyDescent="0.3">
      <c r="B255" s="56">
        <v>4</v>
      </c>
      <c r="C255" s="53" t="s">
        <v>1081</v>
      </c>
      <c r="D255" s="54" t="s">
        <v>1082</v>
      </c>
      <c r="E255" s="54"/>
      <c r="F255" s="54"/>
      <c r="G255" s="54"/>
      <c r="H255" s="55">
        <v>1398.38</v>
      </c>
      <c r="I255" s="55">
        <v>1404.56</v>
      </c>
      <c r="J255" s="55" t="s">
        <v>1006</v>
      </c>
      <c r="K255" s="56">
        <v>3</v>
      </c>
      <c r="L255" s="66" t="s">
        <v>1025</v>
      </c>
      <c r="M255" s="67"/>
      <c r="N255" s="68"/>
      <c r="O255" s="91">
        <v>315.89999999999998</v>
      </c>
      <c r="P255" s="62">
        <f t="shared" si="24"/>
        <v>0.94799999999999995</v>
      </c>
    </row>
    <row r="256" spans="2:16" ht="4.95" customHeight="1" x14ac:dyDescent="0.3">
      <c r="B256" s="39"/>
      <c r="C256" s="42"/>
      <c r="D256" s="40"/>
      <c r="E256" s="40"/>
      <c r="F256" s="40"/>
      <c r="G256" s="40"/>
      <c r="H256" s="41"/>
      <c r="I256" s="41"/>
      <c r="J256" s="41"/>
      <c r="K256" s="41"/>
      <c r="L256" s="41"/>
      <c r="M256" s="41"/>
      <c r="N256" s="41"/>
      <c r="O256" s="42"/>
      <c r="P256" s="43"/>
    </row>
    <row r="257" spans="2:31" ht="19.95" customHeight="1" x14ac:dyDescent="0.3"/>
    <row r="258" spans="2:31" ht="30" customHeight="1" x14ac:dyDescent="0.3">
      <c r="B258" s="186" t="s">
        <v>7</v>
      </c>
      <c r="C258" s="189"/>
      <c r="D258" s="186" t="s">
        <v>8</v>
      </c>
      <c r="E258" s="187"/>
      <c r="F258" s="187"/>
      <c r="G258" s="187"/>
      <c r="H258" s="187"/>
      <c r="I258" s="187"/>
      <c r="J258" s="187"/>
      <c r="K258" s="187"/>
      <c r="L258" s="187"/>
      <c r="M258" s="34" t="s">
        <v>9</v>
      </c>
      <c r="N258" s="85" t="s">
        <v>1084</v>
      </c>
      <c r="O258" s="85" t="s">
        <v>1085</v>
      </c>
      <c r="P258" s="35" t="s">
        <v>1086</v>
      </c>
    </row>
    <row r="259" spans="2:31" ht="30" customHeight="1" x14ac:dyDescent="0.3">
      <c r="B259" s="190" t="s">
        <v>140</v>
      </c>
      <c r="C259" s="191"/>
      <c r="D259" s="207" t="str">
        <f>+VLOOKUP(B259,[2]Liste!B:E,2,FALSE)</f>
        <v>Umbrella Arch Yapılması</v>
      </c>
      <c r="E259" s="208"/>
      <c r="F259" s="208"/>
      <c r="G259" s="208"/>
      <c r="H259" s="208"/>
      <c r="I259" s="208"/>
      <c r="J259" s="208"/>
      <c r="K259" s="208"/>
      <c r="L259" s="208"/>
      <c r="M259" s="36" t="str">
        <f>+VLOOKUP(B259,[2]Liste!B:E,3,FALSE)</f>
        <v>m</v>
      </c>
      <c r="N259" s="60">
        <v>4653</v>
      </c>
      <c r="O259" s="60">
        <f>+P259-N259</f>
        <v>0</v>
      </c>
      <c r="P259" s="60">
        <f>+SUM(P260:P264)</f>
        <v>4653</v>
      </c>
      <c r="AA259" s="9">
        <f>+VLOOKUP(B259,[1]Liste!$B$2:$F$483,5,FALSE)</f>
        <v>3400</v>
      </c>
      <c r="AC259" s="9">
        <f>+AA259*N259</f>
        <v>15820200</v>
      </c>
      <c r="AD259" s="9">
        <f>+AA259*O259</f>
        <v>0</v>
      </c>
      <c r="AE259" s="9">
        <f>+AA259*P259</f>
        <v>15820200</v>
      </c>
    </row>
    <row r="260" spans="2:31" ht="15" customHeight="1" x14ac:dyDescent="0.3">
      <c r="B260" s="93" t="s">
        <v>981</v>
      </c>
      <c r="C260" s="93" t="s">
        <v>991</v>
      </c>
      <c r="D260" s="94" t="s">
        <v>990</v>
      </c>
      <c r="E260" s="94"/>
      <c r="F260" s="94"/>
      <c r="G260" s="94"/>
      <c r="H260" s="139"/>
      <c r="I260" s="139"/>
      <c r="J260" s="139"/>
      <c r="K260" s="93" t="s">
        <v>989</v>
      </c>
      <c r="L260" s="140"/>
      <c r="M260" s="141"/>
      <c r="N260" s="142"/>
      <c r="O260" s="95" t="s">
        <v>985</v>
      </c>
      <c r="P260" s="95" t="s">
        <v>14</v>
      </c>
    </row>
    <row r="261" spans="2:31" ht="15" customHeight="1" x14ac:dyDescent="0.3">
      <c r="B261" s="22">
        <v>3</v>
      </c>
      <c r="C261" s="147" t="s">
        <v>1059</v>
      </c>
      <c r="D261" s="148" t="s">
        <v>1060</v>
      </c>
      <c r="E261" s="148"/>
      <c r="F261" s="148"/>
      <c r="G261" s="148"/>
      <c r="H261" s="149"/>
      <c r="I261" s="149"/>
      <c r="J261" s="149"/>
      <c r="K261" s="22">
        <v>1</v>
      </c>
      <c r="L261" s="150"/>
      <c r="M261" s="48"/>
      <c r="N261" s="48"/>
      <c r="O261" s="160">
        <v>1044</v>
      </c>
      <c r="P261" s="71">
        <f>+ROUND(PRODUCT(K261:O261),3)</f>
        <v>1044</v>
      </c>
    </row>
    <row r="262" spans="2:31" ht="15" customHeight="1" x14ac:dyDescent="0.3">
      <c r="B262" s="22">
        <v>3</v>
      </c>
      <c r="C262" s="147" t="s">
        <v>1063</v>
      </c>
      <c r="D262" s="148" t="s">
        <v>1064</v>
      </c>
      <c r="E262" s="148"/>
      <c r="F262" s="148"/>
      <c r="G262" s="148"/>
      <c r="H262" s="149"/>
      <c r="I262" s="149"/>
      <c r="J262" s="149"/>
      <c r="K262" s="22">
        <v>1</v>
      </c>
      <c r="L262" s="150"/>
      <c r="M262" s="48"/>
      <c r="N262" s="48"/>
      <c r="O262" s="160">
        <v>2610</v>
      </c>
      <c r="P262" s="71">
        <f>+ROUND(PRODUCT(K262:O262),3)</f>
        <v>2610</v>
      </c>
    </row>
    <row r="263" spans="2:31" ht="15" customHeight="1" x14ac:dyDescent="0.3">
      <c r="B263" s="96">
        <v>3</v>
      </c>
      <c r="C263" s="97" t="s">
        <v>1075</v>
      </c>
      <c r="D263" s="98" t="s">
        <v>1076</v>
      </c>
      <c r="E263" s="98"/>
      <c r="F263" s="98"/>
      <c r="G263" s="98"/>
      <c r="H263" s="127"/>
      <c r="I263" s="127"/>
      <c r="J263" s="127"/>
      <c r="K263" s="96">
        <v>1</v>
      </c>
      <c r="L263" s="144"/>
      <c r="M263" s="145"/>
      <c r="N263" s="145"/>
      <c r="O263" s="102">
        <v>999</v>
      </c>
      <c r="P263" s="103">
        <f>+ROUND(PRODUCT(K263:O263),3)</f>
        <v>999</v>
      </c>
    </row>
    <row r="264" spans="2:31" ht="4.95" customHeight="1" x14ac:dyDescent="0.3">
      <c r="B264" s="39"/>
      <c r="C264" s="42"/>
      <c r="D264" s="40"/>
      <c r="E264" s="40"/>
      <c r="F264" s="40"/>
      <c r="G264" s="40"/>
      <c r="H264" s="41"/>
      <c r="I264" s="41"/>
      <c r="J264" s="41"/>
      <c r="K264" s="41"/>
      <c r="L264" s="41"/>
      <c r="M264" s="41"/>
      <c r="N264" s="41"/>
      <c r="O264" s="42"/>
      <c r="P264" s="43"/>
    </row>
    <row r="265" spans="2:31" ht="15" customHeight="1" x14ac:dyDescent="0.3">
      <c r="C265" s="30"/>
      <c r="D265" s="33"/>
      <c r="E265" s="33"/>
      <c r="F265" s="33"/>
      <c r="G265" s="33"/>
      <c r="H265" s="12"/>
      <c r="I265" s="12"/>
      <c r="J265" s="12"/>
      <c r="K265" s="12"/>
      <c r="L265" s="12"/>
      <c r="M265" s="12"/>
      <c r="N265" s="12"/>
      <c r="O265" s="30"/>
    </row>
    <row r="266" spans="2:31" ht="15" customHeight="1" x14ac:dyDescent="0.3">
      <c r="B266" s="210"/>
      <c r="C266" s="210"/>
      <c r="D266" s="210"/>
      <c r="E266" s="210"/>
      <c r="F266" s="210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</row>
    <row r="267" spans="2:31" ht="30" customHeight="1" x14ac:dyDescent="0.3">
      <c r="B267" s="186" t="s">
        <v>7</v>
      </c>
      <c r="C267" s="189"/>
      <c r="D267" s="186" t="s">
        <v>8</v>
      </c>
      <c r="E267" s="187"/>
      <c r="F267" s="187"/>
      <c r="G267" s="187"/>
      <c r="H267" s="187"/>
      <c r="I267" s="187"/>
      <c r="J267" s="187"/>
      <c r="K267" s="187"/>
      <c r="L267" s="187"/>
      <c r="M267" s="34" t="s">
        <v>9</v>
      </c>
      <c r="N267" s="85" t="s">
        <v>1084</v>
      </c>
      <c r="O267" s="85" t="s">
        <v>1085</v>
      </c>
      <c r="P267" s="35" t="s">
        <v>1086</v>
      </c>
    </row>
    <row r="268" spans="2:31" ht="30" customHeight="1" x14ac:dyDescent="0.3">
      <c r="B268" s="190" t="s">
        <v>162</v>
      </c>
      <c r="C268" s="191"/>
      <c r="D268" s="207" t="str">
        <f>+VLOOKUP(B268,[2]Liste!B:E,2,FALSE)</f>
        <v>Çelik Donatı (S220 )</v>
      </c>
      <c r="E268" s="208"/>
      <c r="F268" s="208"/>
      <c r="G268" s="208"/>
      <c r="H268" s="208"/>
      <c r="I268" s="208"/>
      <c r="J268" s="208"/>
      <c r="K268" s="208"/>
      <c r="L268" s="208"/>
      <c r="M268" s="36" t="str">
        <f>+VLOOKUP(B268,[2]Liste!B:E,3,FALSE)</f>
        <v>ton</v>
      </c>
      <c r="N268" s="60">
        <v>6.8220000000000001</v>
      </c>
      <c r="O268" s="60">
        <f>+P268-N268</f>
        <v>0</v>
      </c>
      <c r="P268" s="60">
        <f>+ROUND(SUM(P269:P299),3)</f>
        <v>6.8220000000000001</v>
      </c>
      <c r="AA268" s="9">
        <f>+VLOOKUP(B268,[1]Liste!$B$2:$F$483,5,FALSE)</f>
        <v>46250</v>
      </c>
      <c r="AC268" s="9">
        <f>+AA268*N268</f>
        <v>315517.5</v>
      </c>
      <c r="AD268" s="9">
        <f>+AA268*O268</f>
        <v>0</v>
      </c>
      <c r="AE268" s="9">
        <f>+AA268*P268</f>
        <v>315517.5</v>
      </c>
    </row>
    <row r="269" spans="2:31" ht="15" customHeight="1" x14ac:dyDescent="0.3">
      <c r="B269" s="37" t="s">
        <v>981</v>
      </c>
      <c r="C269" s="63" t="s">
        <v>994</v>
      </c>
      <c r="D269" s="52"/>
      <c r="E269" s="52"/>
      <c r="F269" s="52"/>
      <c r="G269" s="52"/>
      <c r="H269" s="52" t="s">
        <v>12</v>
      </c>
      <c r="I269" s="63"/>
      <c r="J269" s="63"/>
      <c r="K269" s="37" t="s">
        <v>989</v>
      </c>
      <c r="L269" s="65" t="s">
        <v>1022</v>
      </c>
      <c r="M269" s="69"/>
      <c r="N269" s="63" t="s">
        <v>995</v>
      </c>
      <c r="O269" s="64" t="s">
        <v>985</v>
      </c>
      <c r="P269" s="38" t="s">
        <v>14</v>
      </c>
    </row>
    <row r="270" spans="2:31" ht="15" customHeight="1" x14ac:dyDescent="0.3">
      <c r="B270" s="56">
        <v>3</v>
      </c>
      <c r="C270" s="76" t="s">
        <v>1023</v>
      </c>
      <c r="D270" s="77"/>
      <c r="E270" s="77"/>
      <c r="F270" s="54"/>
      <c r="G270" s="54"/>
      <c r="H270" s="54" t="s">
        <v>1033</v>
      </c>
      <c r="I270" s="59"/>
      <c r="J270" s="59"/>
      <c r="K270" s="56">
        <v>60</v>
      </c>
      <c r="L270" s="66">
        <f>SUM($K$212:$K$217)</f>
        <v>18</v>
      </c>
      <c r="M270" s="68"/>
      <c r="N270" s="74">
        <v>0.88800000000000001</v>
      </c>
      <c r="O270" s="75">
        <v>1.5</v>
      </c>
      <c r="P270" s="62">
        <f>+ROUND(PRODUCT(K270:O270)/1000,3)</f>
        <v>1.4390000000000001</v>
      </c>
      <c r="S270" s="73"/>
    </row>
    <row r="271" spans="2:31" ht="15" customHeight="1" x14ac:dyDescent="0.3">
      <c r="B271" s="56">
        <v>3</v>
      </c>
      <c r="C271" s="76" t="s">
        <v>1023</v>
      </c>
      <c r="D271" s="77"/>
      <c r="E271" s="77"/>
      <c r="F271" s="54"/>
      <c r="G271" s="54"/>
      <c r="H271" s="54" t="s">
        <v>1033</v>
      </c>
      <c r="I271" s="59"/>
      <c r="J271" s="59"/>
      <c r="K271" s="56">
        <v>60</v>
      </c>
      <c r="L271" s="66">
        <f>SUM($K$218:$K$223)</f>
        <v>24</v>
      </c>
      <c r="M271" s="68"/>
      <c r="N271" s="74">
        <v>0.88800000000000001</v>
      </c>
      <c r="O271" s="75">
        <v>1.5</v>
      </c>
      <c r="P271" s="62">
        <f>+ROUND(PRODUCT(K271:O271)/1000,3)</f>
        <v>1.9179999999999999</v>
      </c>
      <c r="S271" s="73"/>
    </row>
    <row r="272" spans="2:31" ht="15" customHeight="1" x14ac:dyDescent="0.3">
      <c r="B272" s="56">
        <v>3</v>
      </c>
      <c r="C272" s="76" t="s">
        <v>1023</v>
      </c>
      <c r="D272" s="77"/>
      <c r="E272" s="77"/>
      <c r="F272" s="54"/>
      <c r="G272" s="54"/>
      <c r="H272" s="54" t="s">
        <v>1033</v>
      </c>
      <c r="I272" s="59"/>
      <c r="J272" s="59"/>
      <c r="K272" s="56">
        <v>60</v>
      </c>
      <c r="L272" s="66">
        <f>SUM($K$224:$K$229)</f>
        <v>19</v>
      </c>
      <c r="M272" s="68"/>
      <c r="N272" s="74">
        <v>0.88800000000000001</v>
      </c>
      <c r="O272" s="75">
        <v>1.5</v>
      </c>
      <c r="P272" s="62">
        <f>+ROUND(PRODUCT(K272:O272)/1000,3)</f>
        <v>1.518</v>
      </c>
      <c r="S272" s="73"/>
    </row>
    <row r="273" spans="2:19" ht="15" customHeight="1" x14ac:dyDescent="0.3">
      <c r="B273" s="51" t="s">
        <v>1015</v>
      </c>
      <c r="C273" s="78"/>
      <c r="D273" s="45"/>
      <c r="E273" s="45"/>
      <c r="F273" s="45"/>
      <c r="G273" s="45"/>
      <c r="H273" s="46"/>
      <c r="I273" s="46"/>
      <c r="J273" s="46"/>
      <c r="K273" s="47"/>
      <c r="L273" s="47"/>
      <c r="M273" s="48"/>
      <c r="N273" s="48"/>
      <c r="O273" s="49"/>
      <c r="P273" s="50"/>
      <c r="S273" s="73"/>
    </row>
    <row r="274" spans="2:19" ht="15" customHeight="1" x14ac:dyDescent="0.3">
      <c r="B274" s="37" t="s">
        <v>981</v>
      </c>
      <c r="C274" s="63" t="s">
        <v>994</v>
      </c>
      <c r="D274" s="52"/>
      <c r="E274" s="52"/>
      <c r="F274" s="52"/>
      <c r="G274" s="52"/>
      <c r="H274" s="52" t="s">
        <v>12</v>
      </c>
      <c r="I274" s="63"/>
      <c r="J274" s="63"/>
      <c r="K274" s="37" t="s">
        <v>989</v>
      </c>
      <c r="L274" s="65" t="s">
        <v>1022</v>
      </c>
      <c r="M274" s="69"/>
      <c r="N274" s="63" t="s">
        <v>995</v>
      </c>
      <c r="O274" s="64" t="s">
        <v>985</v>
      </c>
      <c r="P274" s="38" t="s">
        <v>14</v>
      </c>
    </row>
    <row r="275" spans="2:19" ht="15" customHeight="1" x14ac:dyDescent="0.3">
      <c r="B275" s="56">
        <v>3</v>
      </c>
      <c r="C275" s="76" t="s">
        <v>1023</v>
      </c>
      <c r="D275" s="77"/>
      <c r="E275" s="77"/>
      <c r="F275" s="54"/>
      <c r="G275" s="54"/>
      <c r="H275" s="54" t="s">
        <v>1032</v>
      </c>
      <c r="I275" s="59"/>
      <c r="J275" s="59"/>
      <c r="K275" s="56">
        <v>9</v>
      </c>
      <c r="L275" s="66">
        <f>SUM($K$212:$K$217)</f>
        <v>18</v>
      </c>
      <c r="M275" s="68"/>
      <c r="N275" s="74">
        <v>1.208</v>
      </c>
      <c r="O275" s="75">
        <v>0.95</v>
      </c>
      <c r="P275" s="62">
        <f t="shared" ref="P275:P280" si="25">+ROUND(PRODUCT(K275:O275)/1000,3)</f>
        <v>0.186</v>
      </c>
      <c r="S275" s="73"/>
    </row>
    <row r="276" spans="2:19" ht="15" customHeight="1" x14ac:dyDescent="0.3">
      <c r="B276" s="56">
        <v>3</v>
      </c>
      <c r="C276" s="76" t="s">
        <v>1087</v>
      </c>
      <c r="D276" s="77"/>
      <c r="E276" s="77"/>
      <c r="F276" s="54"/>
      <c r="G276" s="54"/>
      <c r="H276" s="54" t="s">
        <v>1088</v>
      </c>
      <c r="I276" s="59"/>
      <c r="J276" s="59"/>
      <c r="K276" s="56">
        <v>6</v>
      </c>
      <c r="L276" s="66">
        <f>SUM($K$212:$K$217)</f>
        <v>18</v>
      </c>
      <c r="M276" s="68"/>
      <c r="N276" s="74">
        <v>1.208</v>
      </c>
      <c r="O276" s="75">
        <v>0.95</v>
      </c>
      <c r="P276" s="62">
        <f t="shared" si="25"/>
        <v>0.124</v>
      </c>
      <c r="S276" s="73"/>
    </row>
    <row r="277" spans="2:19" ht="15" customHeight="1" x14ac:dyDescent="0.3">
      <c r="B277" s="56">
        <v>3</v>
      </c>
      <c r="C277" s="76" t="s">
        <v>1023</v>
      </c>
      <c r="D277" s="77"/>
      <c r="E277" s="77"/>
      <c r="F277" s="54"/>
      <c r="G277" s="54"/>
      <c r="H277" s="54" t="s">
        <v>1032</v>
      </c>
      <c r="I277" s="59"/>
      <c r="J277" s="59"/>
      <c r="K277" s="56">
        <v>9</v>
      </c>
      <c r="L277" s="66">
        <f>SUM($K$218:$K$223)</f>
        <v>24</v>
      </c>
      <c r="M277" s="68"/>
      <c r="N277" s="74">
        <v>1.208</v>
      </c>
      <c r="O277" s="75">
        <v>0.95</v>
      </c>
      <c r="P277" s="62">
        <f t="shared" si="25"/>
        <v>0.248</v>
      </c>
      <c r="S277" s="73"/>
    </row>
    <row r="278" spans="2:19" ht="15" customHeight="1" x14ac:dyDescent="0.3">
      <c r="B278" s="56">
        <v>3</v>
      </c>
      <c r="C278" s="76" t="s">
        <v>1087</v>
      </c>
      <c r="D278" s="77"/>
      <c r="E278" s="77"/>
      <c r="F278" s="54"/>
      <c r="G278" s="54"/>
      <c r="H278" s="54" t="s">
        <v>1088</v>
      </c>
      <c r="I278" s="59"/>
      <c r="J278" s="59"/>
      <c r="K278" s="56">
        <v>6</v>
      </c>
      <c r="L278" s="66">
        <f>SUM($K$218:$K$223)</f>
        <v>24</v>
      </c>
      <c r="M278" s="68"/>
      <c r="N278" s="74">
        <v>1.208</v>
      </c>
      <c r="O278" s="75">
        <v>0.95</v>
      </c>
      <c r="P278" s="62">
        <f t="shared" si="25"/>
        <v>0.16500000000000001</v>
      </c>
      <c r="S278" s="73"/>
    </row>
    <row r="279" spans="2:19" ht="15" customHeight="1" x14ac:dyDescent="0.3">
      <c r="B279" s="56">
        <v>3</v>
      </c>
      <c r="C279" s="76" t="s">
        <v>1023</v>
      </c>
      <c r="D279" s="77"/>
      <c r="E279" s="77"/>
      <c r="F279" s="54"/>
      <c r="G279" s="54"/>
      <c r="H279" s="54" t="s">
        <v>1032</v>
      </c>
      <c r="I279" s="59"/>
      <c r="J279" s="59"/>
      <c r="K279" s="56">
        <v>9</v>
      </c>
      <c r="L279" s="66">
        <f>SUM($K$224:$K$229)</f>
        <v>19</v>
      </c>
      <c r="M279" s="68"/>
      <c r="N279" s="74">
        <v>1.208</v>
      </c>
      <c r="O279" s="75">
        <v>0.95</v>
      </c>
      <c r="P279" s="62">
        <f t="shared" si="25"/>
        <v>0.19600000000000001</v>
      </c>
      <c r="S279" s="73"/>
    </row>
    <row r="280" spans="2:19" ht="15" customHeight="1" x14ac:dyDescent="0.3">
      <c r="B280" s="56">
        <v>3</v>
      </c>
      <c r="C280" s="76" t="s">
        <v>1087</v>
      </c>
      <c r="D280" s="77"/>
      <c r="E280" s="77"/>
      <c r="F280" s="54"/>
      <c r="G280" s="54"/>
      <c r="H280" s="54" t="s">
        <v>1088</v>
      </c>
      <c r="I280" s="59"/>
      <c r="J280" s="59"/>
      <c r="K280" s="56">
        <v>6</v>
      </c>
      <c r="L280" s="66">
        <f>SUM($K$224:$K$229)</f>
        <v>19</v>
      </c>
      <c r="M280" s="68"/>
      <c r="N280" s="74">
        <v>1.208</v>
      </c>
      <c r="O280" s="75">
        <v>0.95</v>
      </c>
      <c r="P280" s="62">
        <f t="shared" si="25"/>
        <v>0.13100000000000001</v>
      </c>
      <c r="S280" s="73"/>
    </row>
    <row r="281" spans="2:19" ht="15" customHeight="1" x14ac:dyDescent="0.3">
      <c r="B281" s="51" t="s">
        <v>1016</v>
      </c>
      <c r="C281" s="78"/>
      <c r="D281" s="45"/>
      <c r="E281" s="45"/>
      <c r="F281" s="45"/>
      <c r="G281" s="45"/>
      <c r="H281" s="46"/>
      <c r="I281" s="46"/>
      <c r="J281" s="46"/>
      <c r="K281" s="47"/>
      <c r="L281" s="47"/>
      <c r="M281" s="48"/>
      <c r="N281" s="48"/>
      <c r="O281" s="49"/>
      <c r="P281" s="50"/>
      <c r="S281" s="73"/>
    </row>
    <row r="282" spans="2:19" ht="15" customHeight="1" x14ac:dyDescent="0.3">
      <c r="B282" s="37" t="s">
        <v>981</v>
      </c>
      <c r="C282" s="63" t="s">
        <v>994</v>
      </c>
      <c r="D282" s="52"/>
      <c r="E282" s="52"/>
      <c r="F282" s="52"/>
      <c r="G282" s="52"/>
      <c r="H282" s="52" t="s">
        <v>12</v>
      </c>
      <c r="I282" s="63"/>
      <c r="J282" s="63"/>
      <c r="K282" s="37" t="s">
        <v>989</v>
      </c>
      <c r="L282" s="65" t="s">
        <v>1022</v>
      </c>
      <c r="M282" s="69"/>
      <c r="N282" s="63" t="s">
        <v>995</v>
      </c>
      <c r="O282" s="64" t="s">
        <v>985</v>
      </c>
      <c r="P282" s="38" t="s">
        <v>14</v>
      </c>
    </row>
    <row r="283" spans="2:19" ht="15" customHeight="1" x14ac:dyDescent="0.3">
      <c r="B283" s="56">
        <v>3</v>
      </c>
      <c r="C283" s="76" t="s">
        <v>1087</v>
      </c>
      <c r="D283" s="77"/>
      <c r="E283" s="77"/>
      <c r="F283" s="54"/>
      <c r="G283" s="54"/>
      <c r="H283" s="54" t="s">
        <v>1088</v>
      </c>
      <c r="I283" s="59"/>
      <c r="J283" s="59"/>
      <c r="K283" s="56">
        <v>6</v>
      </c>
      <c r="L283" s="66">
        <f>SUM($K$232:$K$237)</f>
        <v>10</v>
      </c>
      <c r="M283" s="68"/>
      <c r="N283" s="74">
        <v>1.208</v>
      </c>
      <c r="O283" s="75">
        <v>0.95</v>
      </c>
      <c r="P283" s="62">
        <f>+ROUND(PRODUCT(K283:O283)/1000,3)</f>
        <v>6.9000000000000006E-2</v>
      </c>
      <c r="S283" s="73"/>
    </row>
    <row r="284" spans="2:19" ht="15" customHeight="1" x14ac:dyDescent="0.3">
      <c r="B284" s="56">
        <v>3</v>
      </c>
      <c r="C284" s="76" t="s">
        <v>1087</v>
      </c>
      <c r="D284" s="77"/>
      <c r="E284" s="77"/>
      <c r="F284" s="54"/>
      <c r="G284" s="54"/>
      <c r="H284" s="54" t="s">
        <v>1088</v>
      </c>
      <c r="I284" s="59"/>
      <c r="J284" s="59"/>
      <c r="K284" s="56">
        <v>6</v>
      </c>
      <c r="L284" s="66">
        <f>SUM($K$238:$K$243)</f>
        <v>25</v>
      </c>
      <c r="M284" s="68"/>
      <c r="N284" s="74">
        <v>1.208</v>
      </c>
      <c r="O284" s="75">
        <v>0.95</v>
      </c>
      <c r="P284" s="62">
        <f>+ROUND(PRODUCT(K284:O284)/1000,3)</f>
        <v>0.17199999999999999</v>
      </c>
      <c r="S284" s="73"/>
    </row>
    <row r="285" spans="2:19" ht="15" customHeight="1" x14ac:dyDescent="0.3">
      <c r="B285" s="56">
        <v>3</v>
      </c>
      <c r="C285" s="76" t="s">
        <v>1087</v>
      </c>
      <c r="D285" s="77"/>
      <c r="E285" s="77"/>
      <c r="F285" s="54"/>
      <c r="G285" s="54"/>
      <c r="H285" s="54" t="s">
        <v>1088</v>
      </c>
      <c r="I285" s="59"/>
      <c r="J285" s="59"/>
      <c r="K285" s="56">
        <v>6</v>
      </c>
      <c r="L285" s="66">
        <f>SUM($K$244:$K$249)</f>
        <v>18</v>
      </c>
      <c r="M285" s="68"/>
      <c r="N285" s="74">
        <v>1.208</v>
      </c>
      <c r="O285" s="75">
        <v>0.95</v>
      </c>
      <c r="P285" s="62">
        <f>+ROUND(PRODUCT(K285:O285)/1000,3)</f>
        <v>0.124</v>
      </c>
      <c r="S285" s="73"/>
    </row>
    <row r="286" spans="2:19" ht="15" customHeight="1" x14ac:dyDescent="0.3">
      <c r="B286" s="56">
        <v>4</v>
      </c>
      <c r="C286" s="76" t="s">
        <v>1087</v>
      </c>
      <c r="D286" s="77"/>
      <c r="E286" s="77"/>
      <c r="F286" s="54"/>
      <c r="G286" s="54"/>
      <c r="H286" s="54" t="s">
        <v>1088</v>
      </c>
      <c r="I286" s="59"/>
      <c r="J286" s="59"/>
      <c r="K286" s="56">
        <v>6</v>
      </c>
      <c r="L286" s="66">
        <f>SUM($K$250:$K$255)</f>
        <v>8</v>
      </c>
      <c r="M286" s="68"/>
      <c r="N286" s="74">
        <v>1.208</v>
      </c>
      <c r="O286" s="75">
        <v>0.95</v>
      </c>
      <c r="P286" s="62">
        <f>+ROUND(PRODUCT(K286:O286)/1000,3)</f>
        <v>5.5E-2</v>
      </c>
      <c r="S286" s="73"/>
    </row>
    <row r="287" spans="2:19" ht="15" customHeight="1" x14ac:dyDescent="0.3">
      <c r="B287" s="51" t="s">
        <v>1031</v>
      </c>
      <c r="C287" s="78"/>
      <c r="D287" s="45"/>
      <c r="E287" s="45"/>
      <c r="F287" s="45"/>
      <c r="G287" s="45"/>
      <c r="H287" s="46"/>
      <c r="I287" s="46"/>
      <c r="J287" s="46"/>
      <c r="K287" s="47"/>
      <c r="L287" s="47"/>
      <c r="M287" s="48"/>
      <c r="N287" s="48"/>
      <c r="O287" s="49"/>
      <c r="P287" s="50"/>
      <c r="S287" s="73"/>
    </row>
    <row r="288" spans="2:19" ht="15" customHeight="1" x14ac:dyDescent="0.3">
      <c r="B288" s="93" t="s">
        <v>981</v>
      </c>
      <c r="C288" s="93" t="s">
        <v>991</v>
      </c>
      <c r="D288" s="94" t="s">
        <v>990</v>
      </c>
      <c r="E288" s="94"/>
      <c r="F288" s="94"/>
      <c r="G288" s="94"/>
      <c r="H288" s="139"/>
      <c r="I288" s="139"/>
      <c r="J288" s="139"/>
      <c r="K288" s="93" t="s">
        <v>989</v>
      </c>
      <c r="L288" s="152" t="s">
        <v>12</v>
      </c>
      <c r="M288" s="161"/>
      <c r="N288" s="139" t="s">
        <v>995</v>
      </c>
      <c r="O288" s="143" t="s">
        <v>985</v>
      </c>
      <c r="P288" s="95" t="s">
        <v>14</v>
      </c>
      <c r="S288" s="73"/>
    </row>
    <row r="289" spans="2:19" ht="15" customHeight="1" x14ac:dyDescent="0.3">
      <c r="B289" s="104">
        <v>3</v>
      </c>
      <c r="C289" s="105" t="s">
        <v>1059</v>
      </c>
      <c r="D289" s="106" t="s">
        <v>1060</v>
      </c>
      <c r="E289" s="106"/>
      <c r="F289" s="106"/>
      <c r="G289" s="106"/>
      <c r="H289" s="130"/>
      <c r="I289" s="130"/>
      <c r="J289" s="130"/>
      <c r="K289" s="104">
        <v>30</v>
      </c>
      <c r="L289" s="116" t="s">
        <v>1061</v>
      </c>
      <c r="M289" s="117"/>
      <c r="N289" s="163">
        <v>0.88800000000000001</v>
      </c>
      <c r="O289" s="164">
        <v>2</v>
      </c>
      <c r="P289" s="111">
        <f t="shared" ref="P289:P297" si="26">+ROUND(PRODUCT(K289:O289)/1000,3)</f>
        <v>5.2999999999999999E-2</v>
      </c>
      <c r="S289" s="73"/>
    </row>
    <row r="290" spans="2:19" ht="15" customHeight="1" x14ac:dyDescent="0.3">
      <c r="B290" s="118">
        <v>3</v>
      </c>
      <c r="C290" s="119" t="s">
        <v>1059</v>
      </c>
      <c r="D290" s="120" t="s">
        <v>1060</v>
      </c>
      <c r="E290" s="120"/>
      <c r="F290" s="120"/>
      <c r="G290" s="120"/>
      <c r="H290" s="133"/>
      <c r="I290" s="133"/>
      <c r="J290" s="133"/>
      <c r="K290" s="118">
        <v>30</v>
      </c>
      <c r="L290" s="122" t="s">
        <v>1062</v>
      </c>
      <c r="M290" s="123"/>
      <c r="N290" s="165">
        <v>0.88800000000000001</v>
      </c>
      <c r="O290" s="166">
        <v>2</v>
      </c>
      <c r="P290" s="125">
        <f t="shared" si="26"/>
        <v>5.2999999999999999E-2</v>
      </c>
      <c r="S290" s="73"/>
    </row>
    <row r="291" spans="2:19" ht="15" customHeight="1" x14ac:dyDescent="0.3">
      <c r="B291" s="104">
        <v>3</v>
      </c>
      <c r="C291" s="105" t="s">
        <v>1063</v>
      </c>
      <c r="D291" s="106" t="s">
        <v>1064</v>
      </c>
      <c r="E291" s="106"/>
      <c r="F291" s="106"/>
      <c r="G291" s="106"/>
      <c r="H291" s="130"/>
      <c r="I291" s="130"/>
      <c r="J291" s="130"/>
      <c r="K291" s="104">
        <v>30</v>
      </c>
      <c r="L291" s="116" t="s">
        <v>1068</v>
      </c>
      <c r="M291" s="117"/>
      <c r="N291" s="163">
        <v>0.88800000000000001</v>
      </c>
      <c r="O291" s="164">
        <v>2</v>
      </c>
      <c r="P291" s="111">
        <f t="shared" si="26"/>
        <v>5.2999999999999999E-2</v>
      </c>
      <c r="S291" s="73"/>
    </row>
    <row r="292" spans="2:19" ht="15" customHeight="1" x14ac:dyDescent="0.3">
      <c r="B292" s="56">
        <v>3</v>
      </c>
      <c r="C292" s="53" t="s">
        <v>1063</v>
      </c>
      <c r="D292" s="54" t="s">
        <v>1064</v>
      </c>
      <c r="E292" s="54"/>
      <c r="F292" s="54"/>
      <c r="G292" s="54"/>
      <c r="H292" s="59"/>
      <c r="I292" s="59"/>
      <c r="J292" s="59"/>
      <c r="K292" s="56">
        <v>30</v>
      </c>
      <c r="L292" s="66" t="s">
        <v>1069</v>
      </c>
      <c r="M292" s="68"/>
      <c r="N292" s="74">
        <v>0.88800000000000001</v>
      </c>
      <c r="O292" s="75">
        <v>2</v>
      </c>
      <c r="P292" s="62">
        <f t="shared" si="26"/>
        <v>5.2999999999999999E-2</v>
      </c>
      <c r="S292" s="73"/>
    </row>
    <row r="293" spans="2:19" ht="15" customHeight="1" x14ac:dyDescent="0.3">
      <c r="B293" s="56">
        <v>3</v>
      </c>
      <c r="C293" s="53" t="s">
        <v>1063</v>
      </c>
      <c r="D293" s="54" t="s">
        <v>1064</v>
      </c>
      <c r="E293" s="54"/>
      <c r="F293" s="54"/>
      <c r="G293" s="54"/>
      <c r="H293" s="59"/>
      <c r="I293" s="59"/>
      <c r="J293" s="59"/>
      <c r="K293" s="56">
        <v>30</v>
      </c>
      <c r="L293" s="66" t="s">
        <v>1070</v>
      </c>
      <c r="M293" s="68"/>
      <c r="N293" s="74">
        <v>0.88800000000000001</v>
      </c>
      <c r="O293" s="75">
        <v>2</v>
      </c>
      <c r="P293" s="62">
        <f t="shared" si="26"/>
        <v>5.2999999999999999E-2</v>
      </c>
      <c r="S293" s="73"/>
    </row>
    <row r="294" spans="2:19" ht="15" customHeight="1" x14ac:dyDescent="0.3">
      <c r="B294" s="118">
        <v>3</v>
      </c>
      <c r="C294" s="119" t="s">
        <v>1063</v>
      </c>
      <c r="D294" s="120" t="s">
        <v>1064</v>
      </c>
      <c r="E294" s="120"/>
      <c r="F294" s="120"/>
      <c r="G294" s="120"/>
      <c r="H294" s="133"/>
      <c r="I294" s="133"/>
      <c r="J294" s="133"/>
      <c r="K294" s="118">
        <v>30</v>
      </c>
      <c r="L294" s="122" t="s">
        <v>1074</v>
      </c>
      <c r="M294" s="123"/>
      <c r="N294" s="165">
        <v>0.88800000000000001</v>
      </c>
      <c r="O294" s="166">
        <v>2</v>
      </c>
      <c r="P294" s="125">
        <f t="shared" si="26"/>
        <v>5.2999999999999999E-2</v>
      </c>
      <c r="S294" s="73"/>
    </row>
    <row r="295" spans="2:19" ht="15" customHeight="1" x14ac:dyDescent="0.3">
      <c r="B295" s="96">
        <v>3</v>
      </c>
      <c r="C295" s="97" t="s">
        <v>1075</v>
      </c>
      <c r="D295" s="98" t="s">
        <v>1076</v>
      </c>
      <c r="E295" s="98"/>
      <c r="F295" s="98"/>
      <c r="G295" s="98"/>
      <c r="H295" s="127"/>
      <c r="I295" s="127"/>
      <c r="J295" s="127"/>
      <c r="K295" s="96">
        <v>30</v>
      </c>
      <c r="L295" s="114" t="s">
        <v>1077</v>
      </c>
      <c r="M295" s="115"/>
      <c r="N295" s="162">
        <v>0.88800000000000001</v>
      </c>
      <c r="O295" s="146">
        <v>2</v>
      </c>
      <c r="P295" s="103">
        <f t="shared" si="26"/>
        <v>5.2999999999999999E-2</v>
      </c>
      <c r="S295" s="73"/>
    </row>
    <row r="296" spans="2:19" ht="15" customHeight="1" x14ac:dyDescent="0.3">
      <c r="B296" s="56">
        <v>3</v>
      </c>
      <c r="C296" s="53" t="s">
        <v>1075</v>
      </c>
      <c r="D296" s="54" t="s">
        <v>1076</v>
      </c>
      <c r="E296" s="54"/>
      <c r="F296" s="54"/>
      <c r="G296" s="54"/>
      <c r="H296" s="59"/>
      <c r="I296" s="59"/>
      <c r="J296" s="59"/>
      <c r="K296" s="56">
        <v>30</v>
      </c>
      <c r="L296" s="66" t="s">
        <v>1078</v>
      </c>
      <c r="M296" s="68"/>
      <c r="N296" s="74">
        <v>0.88800000000000001</v>
      </c>
      <c r="O296" s="75">
        <v>2</v>
      </c>
      <c r="P296" s="62">
        <f t="shared" si="26"/>
        <v>5.2999999999999999E-2</v>
      </c>
      <c r="S296" s="73"/>
    </row>
    <row r="297" spans="2:19" ht="15" customHeight="1" x14ac:dyDescent="0.3">
      <c r="B297" s="56">
        <v>3</v>
      </c>
      <c r="C297" s="53" t="s">
        <v>1075</v>
      </c>
      <c r="D297" s="54" t="s">
        <v>1076</v>
      </c>
      <c r="E297" s="54"/>
      <c r="F297" s="54"/>
      <c r="G297" s="54"/>
      <c r="H297" s="59"/>
      <c r="I297" s="59"/>
      <c r="J297" s="59"/>
      <c r="K297" s="56">
        <v>30</v>
      </c>
      <c r="L297" s="66" t="s">
        <v>1079</v>
      </c>
      <c r="M297" s="68"/>
      <c r="N297" s="74">
        <v>0.88800000000000001</v>
      </c>
      <c r="O297" s="75">
        <v>2</v>
      </c>
      <c r="P297" s="62">
        <f t="shared" si="26"/>
        <v>5.2999999999999999E-2</v>
      </c>
      <c r="S297" s="73"/>
    </row>
    <row r="298" spans="2:19" ht="4.95" customHeight="1" x14ac:dyDescent="0.3">
      <c r="B298" s="39"/>
      <c r="C298" s="42"/>
      <c r="D298" s="40"/>
      <c r="E298" s="40"/>
      <c r="F298" s="40"/>
      <c r="G298" s="40"/>
      <c r="H298" s="41"/>
      <c r="I298" s="41"/>
      <c r="J298" s="41"/>
      <c r="K298" s="41"/>
      <c r="L298" s="41"/>
      <c r="M298" s="41"/>
      <c r="N298" s="41"/>
      <c r="O298" s="42"/>
      <c r="P298" s="43"/>
    </row>
    <row r="299" spans="2:19" ht="4.95" customHeight="1" x14ac:dyDescent="0.3">
      <c r="B299" s="39"/>
      <c r="C299" s="42"/>
      <c r="D299" s="40"/>
      <c r="E299" s="40"/>
      <c r="F299" s="40"/>
      <c r="G299" s="40"/>
      <c r="H299" s="41"/>
      <c r="I299" s="41"/>
      <c r="J299" s="41"/>
      <c r="K299" s="41"/>
      <c r="L299" s="41"/>
      <c r="M299" s="41"/>
      <c r="N299" s="41"/>
      <c r="O299" s="42"/>
      <c r="P299" s="43"/>
    </row>
    <row r="300" spans="2:19" ht="19.95" hidden="1" customHeight="1" x14ac:dyDescent="0.3">
      <c r="C300" s="30"/>
      <c r="D300" s="33"/>
      <c r="E300" s="33"/>
      <c r="F300" s="33"/>
      <c r="G300" s="33"/>
      <c r="H300" s="12"/>
      <c r="I300" s="12"/>
      <c r="J300" s="12"/>
      <c r="K300" s="12"/>
      <c r="L300" s="12"/>
      <c r="M300" s="12"/>
      <c r="N300" s="12"/>
      <c r="O300" s="30"/>
    </row>
    <row r="301" spans="2:19" ht="30" hidden="1" customHeight="1" x14ac:dyDescent="0.3">
      <c r="B301" s="186" t="s">
        <v>7</v>
      </c>
      <c r="C301" s="189"/>
      <c r="D301" s="186" t="s">
        <v>8</v>
      </c>
      <c r="E301" s="187"/>
      <c r="F301" s="187"/>
      <c r="G301" s="187"/>
      <c r="H301" s="187"/>
      <c r="I301" s="187"/>
      <c r="J301" s="187"/>
      <c r="K301" s="187"/>
      <c r="L301" s="187"/>
      <c r="M301" s="34" t="s">
        <v>9</v>
      </c>
      <c r="N301" s="85" t="s">
        <v>1084</v>
      </c>
      <c r="O301" s="85" t="s">
        <v>1085</v>
      </c>
      <c r="P301" s="35" t="s">
        <v>1086</v>
      </c>
    </row>
    <row r="302" spans="2:19" ht="30" hidden="1" customHeight="1" x14ac:dyDescent="0.3">
      <c r="B302" s="190" t="s">
        <v>164</v>
      </c>
      <c r="C302" s="191"/>
      <c r="D302" s="207" t="str">
        <f>+VLOOKUP(B302,Liste!B:E,2,FALSE)</f>
        <v>Çelik Donatı (S420a )</v>
      </c>
      <c r="E302" s="208"/>
      <c r="F302" s="208"/>
      <c r="G302" s="208"/>
      <c r="H302" s="208"/>
      <c r="I302" s="208"/>
      <c r="J302" s="208"/>
      <c r="K302" s="208"/>
      <c r="L302" s="208"/>
      <c r="M302" s="208"/>
      <c r="N302" s="209"/>
      <c r="O302" s="36" t="str">
        <f>+VLOOKUP(B302,Liste!B:E,3,FALSE)</f>
        <v>ton</v>
      </c>
      <c r="P302" s="60">
        <f>+ROUND(SUM(P303:P314),3)</f>
        <v>0</v>
      </c>
    </row>
    <row r="303" spans="2:19" ht="15" hidden="1" customHeight="1" x14ac:dyDescent="0.3">
      <c r="B303" s="51" t="s">
        <v>1031</v>
      </c>
      <c r="C303" s="78"/>
      <c r="D303" s="45"/>
      <c r="E303" s="45"/>
      <c r="F303" s="45"/>
      <c r="G303" s="45"/>
      <c r="H303" s="46"/>
      <c r="I303" s="46"/>
      <c r="J303" s="46"/>
      <c r="K303" s="47"/>
      <c r="L303" s="47"/>
      <c r="M303" s="48"/>
      <c r="N303" s="48"/>
      <c r="O303" s="49"/>
      <c r="P303" s="50"/>
      <c r="S303" s="73"/>
    </row>
    <row r="304" spans="2:19" ht="15" hidden="1" customHeight="1" x14ac:dyDescent="0.3">
      <c r="B304" s="37" t="s">
        <v>981</v>
      </c>
      <c r="C304" s="37" t="s">
        <v>991</v>
      </c>
      <c r="D304" s="52" t="s">
        <v>990</v>
      </c>
      <c r="E304" s="52"/>
      <c r="F304" s="52"/>
      <c r="G304" s="52"/>
      <c r="H304" s="63"/>
      <c r="I304" s="63"/>
      <c r="J304" s="63"/>
      <c r="K304" s="37" t="s">
        <v>989</v>
      </c>
      <c r="L304" s="65" t="s">
        <v>12</v>
      </c>
      <c r="M304" s="69"/>
      <c r="N304" s="63" t="s">
        <v>995</v>
      </c>
      <c r="O304" s="64" t="s">
        <v>985</v>
      </c>
      <c r="P304" s="38" t="s">
        <v>14</v>
      </c>
      <c r="S304" s="73"/>
    </row>
    <row r="305" spans="2:31" ht="15" hidden="1" customHeight="1" x14ac:dyDescent="0.3">
      <c r="B305" s="56">
        <v>3</v>
      </c>
      <c r="C305" s="53" t="s">
        <v>1059</v>
      </c>
      <c r="D305" s="54" t="s">
        <v>1060</v>
      </c>
      <c r="E305" s="54"/>
      <c r="F305" s="54"/>
      <c r="G305" s="54"/>
      <c r="H305" s="59"/>
      <c r="I305" s="59"/>
      <c r="J305" s="59"/>
      <c r="K305" s="56">
        <v>30</v>
      </c>
      <c r="L305" s="66" t="s">
        <v>1061</v>
      </c>
      <c r="M305" s="68"/>
      <c r="N305" s="74">
        <v>0.88800000000000001</v>
      </c>
      <c r="O305" s="75">
        <v>0</v>
      </c>
      <c r="P305" s="62">
        <f t="shared" ref="P305:P310" si="27">+ROUND(PRODUCT(K305:O305)/1000,3)</f>
        <v>0</v>
      </c>
      <c r="S305" s="73"/>
    </row>
    <row r="306" spans="2:31" ht="15" hidden="1" customHeight="1" x14ac:dyDescent="0.3">
      <c r="B306" s="56">
        <v>3</v>
      </c>
      <c r="C306" s="53" t="s">
        <v>1059</v>
      </c>
      <c r="D306" s="54" t="s">
        <v>1060</v>
      </c>
      <c r="E306" s="54"/>
      <c r="F306" s="54"/>
      <c r="G306" s="54"/>
      <c r="H306" s="59"/>
      <c r="I306" s="59"/>
      <c r="J306" s="59"/>
      <c r="K306" s="56">
        <v>30</v>
      </c>
      <c r="L306" s="66" t="s">
        <v>1062</v>
      </c>
      <c r="M306" s="68"/>
      <c r="N306" s="74">
        <v>0.88800000000000001</v>
      </c>
      <c r="O306" s="75">
        <v>0</v>
      </c>
      <c r="P306" s="62">
        <f t="shared" si="27"/>
        <v>0</v>
      </c>
      <c r="S306" s="73"/>
    </row>
    <row r="307" spans="2:31" ht="15" hidden="1" customHeight="1" x14ac:dyDescent="0.3">
      <c r="B307" s="56">
        <v>3</v>
      </c>
      <c r="C307" s="53" t="s">
        <v>1063</v>
      </c>
      <c r="D307" s="54" t="s">
        <v>1064</v>
      </c>
      <c r="E307" s="54"/>
      <c r="F307" s="54"/>
      <c r="G307" s="54"/>
      <c r="H307" s="59"/>
      <c r="I307" s="59"/>
      <c r="J307" s="59"/>
      <c r="K307" s="56">
        <v>30</v>
      </c>
      <c r="L307" s="66" t="s">
        <v>1068</v>
      </c>
      <c r="M307" s="68"/>
      <c r="N307" s="74">
        <v>0.88800000000000001</v>
      </c>
      <c r="O307" s="75">
        <v>0</v>
      </c>
      <c r="P307" s="62">
        <f t="shared" si="27"/>
        <v>0</v>
      </c>
      <c r="S307" s="73"/>
    </row>
    <row r="308" spans="2:31" ht="15" hidden="1" customHeight="1" x14ac:dyDescent="0.3">
      <c r="B308" s="56">
        <v>3</v>
      </c>
      <c r="C308" s="53" t="s">
        <v>1063</v>
      </c>
      <c r="D308" s="54" t="s">
        <v>1064</v>
      </c>
      <c r="E308" s="54"/>
      <c r="F308" s="54"/>
      <c r="G308" s="54"/>
      <c r="H308" s="59"/>
      <c r="I308" s="59"/>
      <c r="J308" s="59"/>
      <c r="K308" s="56">
        <v>30</v>
      </c>
      <c r="L308" s="66" t="s">
        <v>1069</v>
      </c>
      <c r="M308" s="68"/>
      <c r="N308" s="74">
        <v>0.88800000000000001</v>
      </c>
      <c r="O308" s="75">
        <v>0</v>
      </c>
      <c r="P308" s="62">
        <f t="shared" si="27"/>
        <v>0</v>
      </c>
      <c r="S308" s="73"/>
    </row>
    <row r="309" spans="2:31" ht="15" hidden="1" customHeight="1" x14ac:dyDescent="0.3">
      <c r="B309" s="56">
        <v>3</v>
      </c>
      <c r="C309" s="53" t="s">
        <v>1063</v>
      </c>
      <c r="D309" s="54" t="s">
        <v>1064</v>
      </c>
      <c r="E309" s="54"/>
      <c r="F309" s="54"/>
      <c r="G309" s="54"/>
      <c r="H309" s="59"/>
      <c r="I309" s="59"/>
      <c r="J309" s="59"/>
      <c r="K309" s="56">
        <v>30</v>
      </c>
      <c r="L309" s="66" t="s">
        <v>1070</v>
      </c>
      <c r="M309" s="68"/>
      <c r="N309" s="74">
        <v>0.88800000000000001</v>
      </c>
      <c r="O309" s="75">
        <v>0</v>
      </c>
      <c r="P309" s="62">
        <f t="shared" si="27"/>
        <v>0</v>
      </c>
      <c r="S309" s="73"/>
    </row>
    <row r="310" spans="2:31" ht="15" hidden="1" customHeight="1" x14ac:dyDescent="0.3">
      <c r="B310" s="56">
        <v>3</v>
      </c>
      <c r="C310" s="53" t="s">
        <v>1063</v>
      </c>
      <c r="D310" s="54" t="s">
        <v>1064</v>
      </c>
      <c r="E310" s="54"/>
      <c r="F310" s="54"/>
      <c r="G310" s="54"/>
      <c r="H310" s="59"/>
      <c r="I310" s="59"/>
      <c r="J310" s="59"/>
      <c r="K310" s="56">
        <v>30</v>
      </c>
      <c r="L310" s="66" t="s">
        <v>1074</v>
      </c>
      <c r="M310" s="68"/>
      <c r="N310" s="74">
        <v>0.88800000000000001</v>
      </c>
      <c r="O310" s="75">
        <v>0</v>
      </c>
      <c r="P310" s="62">
        <f t="shared" si="27"/>
        <v>0</v>
      </c>
      <c r="S310" s="73"/>
    </row>
    <row r="311" spans="2:31" ht="15" hidden="1" customHeight="1" x14ac:dyDescent="0.3">
      <c r="B311" s="56">
        <v>3</v>
      </c>
      <c r="C311" s="53" t="s">
        <v>1075</v>
      </c>
      <c r="D311" s="54" t="s">
        <v>1076</v>
      </c>
      <c r="E311" s="54"/>
      <c r="F311" s="54"/>
      <c r="G311" s="54"/>
      <c r="H311" s="59"/>
      <c r="I311" s="59"/>
      <c r="J311" s="59"/>
      <c r="K311" s="56">
        <v>30</v>
      </c>
      <c r="L311" s="66" t="s">
        <v>1077</v>
      </c>
      <c r="M311" s="68"/>
      <c r="N311" s="74">
        <v>0.88800000000000001</v>
      </c>
      <c r="O311" s="75">
        <v>0</v>
      </c>
      <c r="P311" s="62">
        <f t="shared" ref="P311:P313" si="28">+ROUND(PRODUCT(K311:O311)/1000,3)</f>
        <v>0</v>
      </c>
      <c r="S311" s="73"/>
    </row>
    <row r="312" spans="2:31" ht="15" hidden="1" customHeight="1" x14ac:dyDescent="0.3">
      <c r="B312" s="56">
        <v>3</v>
      </c>
      <c r="C312" s="53" t="s">
        <v>1075</v>
      </c>
      <c r="D312" s="54" t="s">
        <v>1076</v>
      </c>
      <c r="E312" s="54"/>
      <c r="F312" s="54"/>
      <c r="G312" s="54"/>
      <c r="H312" s="59"/>
      <c r="I312" s="59"/>
      <c r="J312" s="59"/>
      <c r="K312" s="56">
        <v>30</v>
      </c>
      <c r="L312" s="66" t="s">
        <v>1078</v>
      </c>
      <c r="M312" s="68"/>
      <c r="N312" s="74">
        <v>0.88800000000000001</v>
      </c>
      <c r="O312" s="75">
        <v>0</v>
      </c>
      <c r="P312" s="62">
        <f t="shared" si="28"/>
        <v>0</v>
      </c>
      <c r="S312" s="73"/>
    </row>
    <row r="313" spans="2:31" ht="15" hidden="1" customHeight="1" x14ac:dyDescent="0.3">
      <c r="B313" s="56">
        <v>3</v>
      </c>
      <c r="C313" s="53" t="s">
        <v>1075</v>
      </c>
      <c r="D313" s="54" t="s">
        <v>1076</v>
      </c>
      <c r="E313" s="54"/>
      <c r="F313" s="54"/>
      <c r="G313" s="54"/>
      <c r="H313" s="59"/>
      <c r="I313" s="59"/>
      <c r="J313" s="59"/>
      <c r="K313" s="56">
        <v>30</v>
      </c>
      <c r="L313" s="66" t="s">
        <v>1079</v>
      </c>
      <c r="M313" s="68"/>
      <c r="N313" s="74">
        <v>0.88800000000000001</v>
      </c>
      <c r="O313" s="75">
        <v>0</v>
      </c>
      <c r="P313" s="62">
        <f t="shared" si="28"/>
        <v>0</v>
      </c>
      <c r="S313" s="73"/>
    </row>
    <row r="314" spans="2:31" ht="4.95" hidden="1" customHeight="1" x14ac:dyDescent="0.3">
      <c r="B314" s="39"/>
      <c r="C314" s="42"/>
      <c r="D314" s="40"/>
      <c r="E314" s="40"/>
      <c r="F314" s="40"/>
      <c r="G314" s="40"/>
      <c r="H314" s="41"/>
      <c r="I314" s="41"/>
      <c r="J314" s="41"/>
      <c r="K314" s="41"/>
      <c r="L314" s="41"/>
      <c r="M314" s="41"/>
      <c r="N314" s="41"/>
      <c r="O314" s="42"/>
      <c r="P314" s="43"/>
    </row>
    <row r="315" spans="2:31" ht="15" customHeight="1" x14ac:dyDescent="0.3">
      <c r="C315" s="30"/>
      <c r="D315" s="33"/>
      <c r="E315" s="33"/>
      <c r="F315" s="33"/>
      <c r="G315" s="33"/>
      <c r="H315" s="12"/>
      <c r="I315" s="12"/>
      <c r="J315" s="12"/>
      <c r="K315" s="12"/>
      <c r="L315" s="12"/>
      <c r="M315" s="12"/>
      <c r="N315" s="12"/>
      <c r="O315" s="30"/>
    </row>
    <row r="316" spans="2:31" ht="30" customHeight="1" x14ac:dyDescent="0.3">
      <c r="B316" s="186" t="s">
        <v>7</v>
      </c>
      <c r="C316" s="189"/>
      <c r="D316" s="186" t="s">
        <v>8</v>
      </c>
      <c r="E316" s="187"/>
      <c r="F316" s="187"/>
      <c r="G316" s="187"/>
      <c r="H316" s="187"/>
      <c r="I316" s="187"/>
      <c r="J316" s="187"/>
      <c r="K316" s="187"/>
      <c r="L316" s="187"/>
      <c r="M316" s="34" t="s">
        <v>9</v>
      </c>
      <c r="N316" s="85" t="s">
        <v>1084</v>
      </c>
      <c r="O316" s="85" t="s">
        <v>1085</v>
      </c>
      <c r="P316" s="35" t="s">
        <v>1086</v>
      </c>
    </row>
    <row r="317" spans="2:31" ht="30" customHeight="1" x14ac:dyDescent="0.3">
      <c r="B317" s="190" t="s">
        <v>166</v>
      </c>
      <c r="C317" s="191"/>
      <c r="D317" s="207" t="str">
        <f>+VLOOKUP(B317,[2]Liste!B:E,2,FALSE)</f>
        <v>Çelik hasır (S500 )</v>
      </c>
      <c r="E317" s="208"/>
      <c r="F317" s="208"/>
      <c r="G317" s="208"/>
      <c r="H317" s="208"/>
      <c r="I317" s="208"/>
      <c r="J317" s="208"/>
      <c r="K317" s="208"/>
      <c r="L317" s="208"/>
      <c r="M317" s="36" t="str">
        <f>+VLOOKUP(B317,[2]Liste!B:E,3,FALSE)</f>
        <v>ton</v>
      </c>
      <c r="N317" s="60">
        <v>31.791</v>
      </c>
      <c r="O317" s="60">
        <f>+P317-N317</f>
        <v>0</v>
      </c>
      <c r="P317" s="60">
        <f>+ROUND(SUM(P318:P343),3)</f>
        <v>31.791</v>
      </c>
      <c r="AA317" s="9">
        <f>+VLOOKUP(B317,[1]Liste!$B$2:$F$483,5,FALSE)</f>
        <v>97333</v>
      </c>
      <c r="AC317" s="9">
        <f>+AA317*N317</f>
        <v>3094313.4029999999</v>
      </c>
      <c r="AD317" s="9">
        <f>+AA317*O317</f>
        <v>0</v>
      </c>
      <c r="AE317" s="9">
        <f>+AA317*P317</f>
        <v>3094313.4029999999</v>
      </c>
    </row>
    <row r="318" spans="2:31" ht="15" customHeight="1" x14ac:dyDescent="0.3">
      <c r="B318" s="51" t="s">
        <v>1015</v>
      </c>
      <c r="C318" s="78"/>
      <c r="D318" s="45"/>
      <c r="E318" s="45"/>
      <c r="F318" s="45"/>
      <c r="G318" s="45"/>
      <c r="H318" s="46"/>
      <c r="I318" s="46"/>
      <c r="J318" s="46"/>
      <c r="K318" s="47"/>
      <c r="L318" s="47"/>
      <c r="M318" s="48"/>
      <c r="N318" s="48"/>
      <c r="O318" s="49"/>
      <c r="P318" s="50"/>
    </row>
    <row r="319" spans="2:31" ht="15" customHeight="1" x14ac:dyDescent="0.3">
      <c r="B319" s="93" t="s">
        <v>981</v>
      </c>
      <c r="C319" s="93" t="s">
        <v>991</v>
      </c>
      <c r="D319" s="94" t="s">
        <v>990</v>
      </c>
      <c r="E319" s="94"/>
      <c r="F319" s="94"/>
      <c r="G319" s="94"/>
      <c r="H319" s="93" t="s">
        <v>988</v>
      </c>
      <c r="I319" s="93" t="s">
        <v>987</v>
      </c>
      <c r="J319" s="93" t="s">
        <v>992</v>
      </c>
      <c r="K319" s="93" t="s">
        <v>989</v>
      </c>
      <c r="L319" s="140"/>
      <c r="M319" s="142" t="s">
        <v>985</v>
      </c>
      <c r="N319" s="143"/>
      <c r="O319" s="95" t="s">
        <v>1035</v>
      </c>
      <c r="P319" s="95" t="s">
        <v>14</v>
      </c>
    </row>
    <row r="320" spans="2:31" ht="15" customHeight="1" x14ac:dyDescent="0.3">
      <c r="B320" s="22">
        <v>3</v>
      </c>
      <c r="C320" s="147" t="s">
        <v>1059</v>
      </c>
      <c r="D320" s="148" t="s">
        <v>1060</v>
      </c>
      <c r="E320" s="148"/>
      <c r="F320" s="148"/>
      <c r="G320" s="148"/>
      <c r="H320" s="169">
        <v>1358.63</v>
      </c>
      <c r="I320" s="169">
        <v>1372.13</v>
      </c>
      <c r="J320" s="169" t="s">
        <v>993</v>
      </c>
      <c r="K320" s="22">
        <v>1</v>
      </c>
      <c r="L320" s="150"/>
      <c r="M320" s="170">
        <f>+I320-H320</f>
        <v>13.5</v>
      </c>
      <c r="N320" s="171"/>
      <c r="O320" s="160">
        <f>343.758/0.75</f>
        <v>458.34399999999999</v>
      </c>
      <c r="P320" s="71">
        <f>+ROUND(PRODUCT(K320:O320)/1000,3)</f>
        <v>6.1879999999999997</v>
      </c>
    </row>
    <row r="321" spans="2:16" ht="15" customHeight="1" x14ac:dyDescent="0.3">
      <c r="B321" s="22">
        <v>3</v>
      </c>
      <c r="C321" s="147" t="s">
        <v>1063</v>
      </c>
      <c r="D321" s="148" t="s">
        <v>1064</v>
      </c>
      <c r="E321" s="148"/>
      <c r="F321" s="148"/>
      <c r="G321" s="148"/>
      <c r="H321" s="169">
        <v>1372.13</v>
      </c>
      <c r="I321" s="169">
        <v>1390.13</v>
      </c>
      <c r="J321" s="169" t="s">
        <v>993</v>
      </c>
      <c r="K321" s="22">
        <v>1</v>
      </c>
      <c r="L321" s="150"/>
      <c r="M321" s="170">
        <f t="shared" ref="M321:M322" si="29">+I321-H321</f>
        <v>18</v>
      </c>
      <c r="N321" s="171"/>
      <c r="O321" s="160">
        <f t="shared" ref="O321:O322" si="30">343.758/0.75</f>
        <v>458.34399999999999</v>
      </c>
      <c r="P321" s="71">
        <f>+ROUND(PRODUCT(K321:O321)/1000,3)</f>
        <v>8.25</v>
      </c>
    </row>
    <row r="322" spans="2:16" ht="15" customHeight="1" x14ac:dyDescent="0.3">
      <c r="B322" s="96">
        <v>3</v>
      </c>
      <c r="C322" s="97" t="s">
        <v>1075</v>
      </c>
      <c r="D322" s="98" t="s">
        <v>1076</v>
      </c>
      <c r="E322" s="98"/>
      <c r="F322" s="98"/>
      <c r="G322" s="98"/>
      <c r="H322" s="99">
        <v>1390.13</v>
      </c>
      <c r="I322" s="99">
        <v>1404.56</v>
      </c>
      <c r="J322" s="99" t="s">
        <v>993</v>
      </c>
      <c r="K322" s="96">
        <v>1</v>
      </c>
      <c r="L322" s="172"/>
      <c r="M322" s="173">
        <f t="shared" si="29"/>
        <v>14.429999999999836</v>
      </c>
      <c r="N322" s="168"/>
      <c r="O322" s="102">
        <f t="shared" si="30"/>
        <v>458.34399999999999</v>
      </c>
      <c r="P322" s="103">
        <f>+ROUND(PRODUCT(K322:O322)/1000,3)</f>
        <v>6.6139999999999999</v>
      </c>
    </row>
    <row r="323" spans="2:16" ht="15" customHeight="1" x14ac:dyDescent="0.3">
      <c r="B323" s="51" t="s">
        <v>1016</v>
      </c>
      <c r="C323" s="78"/>
      <c r="D323" s="45"/>
      <c r="E323" s="45"/>
      <c r="F323" s="45"/>
      <c r="G323" s="45"/>
      <c r="H323" s="46"/>
      <c r="I323" s="46"/>
      <c r="J323" s="46"/>
      <c r="K323" s="47"/>
      <c r="L323" s="47"/>
      <c r="M323" s="48"/>
      <c r="N323" s="48"/>
      <c r="O323" s="49"/>
      <c r="P323" s="50"/>
    </row>
    <row r="324" spans="2:16" ht="15" customHeight="1" x14ac:dyDescent="0.3">
      <c r="B324" s="93" t="s">
        <v>981</v>
      </c>
      <c r="C324" s="93" t="s">
        <v>991</v>
      </c>
      <c r="D324" s="94" t="s">
        <v>990</v>
      </c>
      <c r="E324" s="94"/>
      <c r="F324" s="94"/>
      <c r="G324" s="94"/>
      <c r="H324" s="93" t="s">
        <v>988</v>
      </c>
      <c r="I324" s="93" t="s">
        <v>987</v>
      </c>
      <c r="J324" s="93" t="s">
        <v>992</v>
      </c>
      <c r="K324" s="93" t="s">
        <v>989</v>
      </c>
      <c r="L324" s="140"/>
      <c r="M324" s="142" t="s">
        <v>985</v>
      </c>
      <c r="N324" s="143"/>
      <c r="O324" s="95" t="s">
        <v>1035</v>
      </c>
      <c r="P324" s="95" t="s">
        <v>14</v>
      </c>
    </row>
    <row r="325" spans="2:16" ht="15" customHeight="1" x14ac:dyDescent="0.3">
      <c r="B325" s="22">
        <v>3</v>
      </c>
      <c r="C325" s="147" t="s">
        <v>1059</v>
      </c>
      <c r="D325" s="148" t="s">
        <v>1060</v>
      </c>
      <c r="E325" s="148"/>
      <c r="F325" s="148"/>
      <c r="G325" s="148"/>
      <c r="H325" s="169">
        <v>1358.63</v>
      </c>
      <c r="I325" s="169">
        <v>1366.13</v>
      </c>
      <c r="J325" s="169" t="s">
        <v>1006</v>
      </c>
      <c r="K325" s="22">
        <v>1</v>
      </c>
      <c r="L325" s="150"/>
      <c r="M325" s="170">
        <f>+I325-H325</f>
        <v>7.5</v>
      </c>
      <c r="N325" s="171"/>
      <c r="O325" s="160">
        <f>127.905/0.75</f>
        <v>170.54</v>
      </c>
      <c r="P325" s="71">
        <f>+ROUND(PRODUCT(K325:O325)/1000,3)</f>
        <v>1.2789999999999999</v>
      </c>
    </row>
    <row r="326" spans="2:16" ht="15" customHeight="1" x14ac:dyDescent="0.3">
      <c r="B326" s="22">
        <v>3</v>
      </c>
      <c r="C326" s="147" t="s">
        <v>1063</v>
      </c>
      <c r="D326" s="148" t="s">
        <v>1064</v>
      </c>
      <c r="E326" s="148"/>
      <c r="F326" s="148"/>
      <c r="G326" s="148"/>
      <c r="H326" s="169">
        <v>1366.13</v>
      </c>
      <c r="I326" s="169">
        <v>1384.88</v>
      </c>
      <c r="J326" s="169" t="s">
        <v>1006</v>
      </c>
      <c r="K326" s="22">
        <v>1</v>
      </c>
      <c r="L326" s="150"/>
      <c r="M326" s="170">
        <f t="shared" ref="M326:M328" si="31">+I326-H326</f>
        <v>18.75</v>
      </c>
      <c r="N326" s="171"/>
      <c r="O326" s="160">
        <f t="shared" ref="O326:O328" si="32">127.905/0.75</f>
        <v>170.54</v>
      </c>
      <c r="P326" s="71">
        <f>+ROUND(PRODUCT(K326:O326)/1000,3)</f>
        <v>3.198</v>
      </c>
    </row>
    <row r="327" spans="2:16" ht="15" customHeight="1" x14ac:dyDescent="0.3">
      <c r="B327" s="22">
        <v>3</v>
      </c>
      <c r="C327" s="147" t="s">
        <v>1075</v>
      </c>
      <c r="D327" s="148" t="s">
        <v>1076</v>
      </c>
      <c r="E327" s="148"/>
      <c r="F327" s="148"/>
      <c r="G327" s="148"/>
      <c r="H327" s="169">
        <v>1384.88</v>
      </c>
      <c r="I327" s="169">
        <v>1398.38</v>
      </c>
      <c r="J327" s="169" t="s">
        <v>1006</v>
      </c>
      <c r="K327" s="22">
        <v>1</v>
      </c>
      <c r="L327" s="150"/>
      <c r="M327" s="170">
        <f t="shared" si="31"/>
        <v>13.5</v>
      </c>
      <c r="N327" s="171"/>
      <c r="O327" s="160">
        <f t="shared" si="32"/>
        <v>170.54</v>
      </c>
      <c r="P327" s="71">
        <f>+ROUND(PRODUCT(K327:O327)/1000,3)</f>
        <v>2.302</v>
      </c>
    </row>
    <row r="328" spans="2:16" ht="15" customHeight="1" x14ac:dyDescent="0.3">
      <c r="B328" s="96">
        <v>4</v>
      </c>
      <c r="C328" s="97" t="s">
        <v>1081</v>
      </c>
      <c r="D328" s="98" t="s">
        <v>1082</v>
      </c>
      <c r="E328" s="98"/>
      <c r="F328" s="98"/>
      <c r="G328" s="98"/>
      <c r="H328" s="99">
        <v>1398.38</v>
      </c>
      <c r="I328" s="99">
        <v>1404.56</v>
      </c>
      <c r="J328" s="99" t="s">
        <v>1006</v>
      </c>
      <c r="K328" s="96">
        <v>1</v>
      </c>
      <c r="L328" s="144"/>
      <c r="M328" s="167">
        <f t="shared" si="31"/>
        <v>6.1799999999998363</v>
      </c>
      <c r="N328" s="168"/>
      <c r="O328" s="102">
        <f t="shared" si="32"/>
        <v>170.54</v>
      </c>
      <c r="P328" s="103">
        <f>+ROUND(PRODUCT(K328:O328)/1000,3)</f>
        <v>1.054</v>
      </c>
    </row>
    <row r="329" spans="2:16" ht="15" customHeight="1" x14ac:dyDescent="0.3">
      <c r="B329" s="51" t="s">
        <v>1020</v>
      </c>
      <c r="C329" s="78"/>
      <c r="D329" s="45"/>
      <c r="E329" s="45"/>
      <c r="F329" s="45"/>
      <c r="G329" s="45"/>
      <c r="H329" s="46"/>
      <c r="I329" s="46"/>
      <c r="J329" s="46"/>
      <c r="K329" s="47"/>
      <c r="L329" s="47"/>
      <c r="M329" s="48"/>
      <c r="N329" s="48"/>
      <c r="O329" s="49"/>
      <c r="P329" s="50"/>
    </row>
    <row r="330" spans="2:16" ht="60" customHeight="1" x14ac:dyDescent="0.3">
      <c r="B330" s="93" t="s">
        <v>981</v>
      </c>
      <c r="C330" s="93" t="s">
        <v>991</v>
      </c>
      <c r="D330" s="94" t="s">
        <v>997</v>
      </c>
      <c r="E330" s="94"/>
      <c r="F330" s="94"/>
      <c r="G330" s="94"/>
      <c r="H330" s="126"/>
      <c r="I330" s="139"/>
      <c r="J330" s="93" t="s">
        <v>992</v>
      </c>
      <c r="K330" s="93" t="s">
        <v>989</v>
      </c>
      <c r="L330" s="93" t="s">
        <v>1019</v>
      </c>
      <c r="M330" s="95" t="s">
        <v>983</v>
      </c>
      <c r="N330" s="95" t="s">
        <v>1021</v>
      </c>
      <c r="O330" s="95" t="s">
        <v>1039</v>
      </c>
      <c r="P330" s="95" t="s">
        <v>14</v>
      </c>
    </row>
    <row r="331" spans="2:16" ht="30" customHeight="1" x14ac:dyDescent="0.3">
      <c r="B331" s="104">
        <v>3</v>
      </c>
      <c r="C331" s="105" t="s">
        <v>1059</v>
      </c>
      <c r="D331" s="201" t="s">
        <v>1017</v>
      </c>
      <c r="E331" s="202"/>
      <c r="F331" s="202"/>
      <c r="G331" s="202"/>
      <c r="H331" s="202"/>
      <c r="I331" s="203"/>
      <c r="J331" s="107" t="s">
        <v>993</v>
      </c>
      <c r="K331" s="104">
        <v>3</v>
      </c>
      <c r="L331" s="104" t="s">
        <v>1014</v>
      </c>
      <c r="M331" s="132">
        <f>2*5</f>
        <v>10</v>
      </c>
      <c r="N331" s="137"/>
      <c r="O331" s="174">
        <v>3.47</v>
      </c>
      <c r="P331" s="111">
        <f>+ROUND(PRODUCT(M331:O331)*K331/1000,3)</f>
        <v>0.104</v>
      </c>
    </row>
    <row r="332" spans="2:16" ht="30" customHeight="1" x14ac:dyDescent="0.3">
      <c r="B332" s="118">
        <v>3</v>
      </c>
      <c r="C332" s="119" t="s">
        <v>1059</v>
      </c>
      <c r="D332" s="204" t="s">
        <v>1018</v>
      </c>
      <c r="E332" s="212"/>
      <c r="F332" s="212"/>
      <c r="G332" s="212"/>
      <c r="H332" s="212"/>
      <c r="I332" s="213"/>
      <c r="J332" s="121" t="s">
        <v>993</v>
      </c>
      <c r="K332" s="118">
        <v>3</v>
      </c>
      <c r="L332" s="118" t="s">
        <v>1014</v>
      </c>
      <c r="M332" s="135"/>
      <c r="N332" s="175">
        <v>0.44</v>
      </c>
      <c r="O332" s="176">
        <v>416.54</v>
      </c>
      <c r="P332" s="125">
        <f t="shared" ref="P332" si="33">+ROUND(PRODUCT(M332:O332)*K332/1000,3)</f>
        <v>0.55000000000000004</v>
      </c>
    </row>
    <row r="333" spans="2:16" ht="30" customHeight="1" x14ac:dyDescent="0.3">
      <c r="B333" s="104">
        <v>3</v>
      </c>
      <c r="C333" s="105" t="s">
        <v>1063</v>
      </c>
      <c r="D333" s="201" t="s">
        <v>1071</v>
      </c>
      <c r="E333" s="202"/>
      <c r="F333" s="202"/>
      <c r="G333" s="202"/>
      <c r="H333" s="202"/>
      <c r="I333" s="203"/>
      <c r="J333" s="107" t="s">
        <v>993</v>
      </c>
      <c r="K333" s="104">
        <v>1</v>
      </c>
      <c r="L333" s="104" t="s">
        <v>1014</v>
      </c>
      <c r="M333" s="132">
        <v>8</v>
      </c>
      <c r="N333" s="137"/>
      <c r="O333" s="174">
        <v>3.47</v>
      </c>
      <c r="P333" s="111">
        <f>+ROUND(PRODUCT(M333:O333)*K333/1000,3)</f>
        <v>2.8000000000000001E-2</v>
      </c>
    </row>
    <row r="334" spans="2:16" ht="30" customHeight="1" x14ac:dyDescent="0.3">
      <c r="B334" s="56">
        <v>3</v>
      </c>
      <c r="C334" s="53" t="s">
        <v>1063</v>
      </c>
      <c r="D334" s="196" t="s">
        <v>1071</v>
      </c>
      <c r="E334" s="197"/>
      <c r="F334" s="197"/>
      <c r="G334" s="197"/>
      <c r="H334" s="197"/>
      <c r="I334" s="198"/>
      <c r="J334" s="55" t="s">
        <v>993</v>
      </c>
      <c r="K334" s="56">
        <v>1</v>
      </c>
      <c r="L334" s="56" t="s">
        <v>1014</v>
      </c>
      <c r="M334" s="57">
        <f>2*5</f>
        <v>10</v>
      </c>
      <c r="N334" s="72"/>
      <c r="O334" s="70">
        <v>3.47</v>
      </c>
      <c r="P334" s="62">
        <f>+ROUND(PRODUCT(M334:O334)*K334/1000,3)</f>
        <v>3.5000000000000003E-2</v>
      </c>
    </row>
    <row r="335" spans="2:16" ht="30" customHeight="1" x14ac:dyDescent="0.3">
      <c r="B335" s="118">
        <v>3</v>
      </c>
      <c r="C335" s="119" t="s">
        <v>1063</v>
      </c>
      <c r="D335" s="204" t="s">
        <v>1017</v>
      </c>
      <c r="E335" s="205"/>
      <c r="F335" s="205"/>
      <c r="G335" s="205"/>
      <c r="H335" s="205"/>
      <c r="I335" s="206"/>
      <c r="J335" s="121" t="s">
        <v>993</v>
      </c>
      <c r="K335" s="118">
        <v>1</v>
      </c>
      <c r="L335" s="118" t="s">
        <v>1014</v>
      </c>
      <c r="M335" s="135">
        <f>2*5</f>
        <v>10</v>
      </c>
      <c r="N335" s="175"/>
      <c r="O335" s="176">
        <v>3.47</v>
      </c>
      <c r="P335" s="125">
        <f>+ROUND(PRODUCT(M335:O335)*K335/1000,3)</f>
        <v>3.5000000000000003E-2</v>
      </c>
    </row>
    <row r="336" spans="2:16" ht="30" customHeight="1" x14ac:dyDescent="0.3">
      <c r="B336" s="104">
        <v>3</v>
      </c>
      <c r="C336" s="105" t="s">
        <v>1063</v>
      </c>
      <c r="D336" s="201" t="s">
        <v>1072</v>
      </c>
      <c r="E336" s="202"/>
      <c r="F336" s="202"/>
      <c r="G336" s="202"/>
      <c r="H336" s="202"/>
      <c r="I336" s="203"/>
      <c r="J336" s="107" t="s">
        <v>993</v>
      </c>
      <c r="K336" s="104">
        <v>2</v>
      </c>
      <c r="L336" s="104" t="s">
        <v>1014</v>
      </c>
      <c r="M336" s="132">
        <v>8</v>
      </c>
      <c r="N336" s="137"/>
      <c r="O336" s="174">
        <v>3.47</v>
      </c>
      <c r="P336" s="111">
        <f>+ROUND(PRODUCT(M336:O336)*K336/1000,3)</f>
        <v>5.6000000000000001E-2</v>
      </c>
    </row>
    <row r="337" spans="2:16" ht="30" customHeight="1" x14ac:dyDescent="0.3">
      <c r="B337" s="56">
        <v>3</v>
      </c>
      <c r="C337" s="53" t="s">
        <v>1063</v>
      </c>
      <c r="D337" s="196" t="s">
        <v>1072</v>
      </c>
      <c r="E337" s="197"/>
      <c r="F337" s="197"/>
      <c r="G337" s="197"/>
      <c r="H337" s="197"/>
      <c r="I337" s="198"/>
      <c r="J337" s="55" t="s">
        <v>993</v>
      </c>
      <c r="K337" s="56">
        <v>1</v>
      </c>
      <c r="L337" s="56" t="s">
        <v>1014</v>
      </c>
      <c r="M337" s="57">
        <f>2*5</f>
        <v>10</v>
      </c>
      <c r="N337" s="72"/>
      <c r="O337" s="70">
        <v>3.47</v>
      </c>
      <c r="P337" s="62">
        <f>+ROUND(PRODUCT(M337:O337)*K337/1000,3)</f>
        <v>3.5000000000000003E-2</v>
      </c>
    </row>
    <row r="338" spans="2:16" ht="30" customHeight="1" x14ac:dyDescent="0.3">
      <c r="B338" s="118">
        <v>3</v>
      </c>
      <c r="C338" s="119" t="s">
        <v>1063</v>
      </c>
      <c r="D338" s="204" t="s">
        <v>1018</v>
      </c>
      <c r="E338" s="212"/>
      <c r="F338" s="212"/>
      <c r="G338" s="212"/>
      <c r="H338" s="212"/>
      <c r="I338" s="213"/>
      <c r="J338" s="121" t="s">
        <v>993</v>
      </c>
      <c r="K338" s="118">
        <v>4</v>
      </c>
      <c r="L338" s="118" t="s">
        <v>1014</v>
      </c>
      <c r="M338" s="135"/>
      <c r="N338" s="175">
        <v>0.44</v>
      </c>
      <c r="O338" s="176">
        <v>416.54</v>
      </c>
      <c r="P338" s="125">
        <f t="shared" ref="P338" si="34">+ROUND(PRODUCT(M338:O338)*K338/1000,3)</f>
        <v>0.73299999999999998</v>
      </c>
    </row>
    <row r="339" spans="2:16" ht="30" customHeight="1" x14ac:dyDescent="0.3">
      <c r="B339" s="96">
        <v>3</v>
      </c>
      <c r="C339" s="97" t="s">
        <v>1075</v>
      </c>
      <c r="D339" s="193" t="s">
        <v>1071</v>
      </c>
      <c r="E339" s="194"/>
      <c r="F339" s="194"/>
      <c r="G339" s="194"/>
      <c r="H339" s="194"/>
      <c r="I339" s="195"/>
      <c r="J339" s="99" t="s">
        <v>993</v>
      </c>
      <c r="K339" s="96">
        <v>1</v>
      </c>
      <c r="L339" s="96" t="s">
        <v>1014</v>
      </c>
      <c r="M339" s="129">
        <v>8</v>
      </c>
      <c r="N339" s="136"/>
      <c r="O339" s="138">
        <v>3.47</v>
      </c>
      <c r="P339" s="103">
        <f>+ROUND(PRODUCT(M339:O339)*K339/1000,3)</f>
        <v>2.8000000000000001E-2</v>
      </c>
    </row>
    <row r="340" spans="2:16" ht="30" customHeight="1" x14ac:dyDescent="0.3">
      <c r="B340" s="56">
        <v>3</v>
      </c>
      <c r="C340" s="53" t="s">
        <v>1075</v>
      </c>
      <c r="D340" s="196" t="s">
        <v>1072</v>
      </c>
      <c r="E340" s="197"/>
      <c r="F340" s="197"/>
      <c r="G340" s="197"/>
      <c r="H340" s="197"/>
      <c r="I340" s="198"/>
      <c r="J340" s="55" t="s">
        <v>993</v>
      </c>
      <c r="K340" s="56">
        <v>2</v>
      </c>
      <c r="L340" s="56" t="s">
        <v>1014</v>
      </c>
      <c r="M340" s="57">
        <v>8</v>
      </c>
      <c r="N340" s="72"/>
      <c r="O340" s="70">
        <v>3.47</v>
      </c>
      <c r="P340" s="62">
        <f>+ROUND(PRODUCT(M340:O340)*K340/1000,3)</f>
        <v>5.6000000000000001E-2</v>
      </c>
    </row>
    <row r="341" spans="2:16" ht="30" customHeight="1" x14ac:dyDescent="0.3">
      <c r="B341" s="56">
        <v>3</v>
      </c>
      <c r="C341" s="53" t="s">
        <v>1075</v>
      </c>
      <c r="D341" s="196" t="s">
        <v>1018</v>
      </c>
      <c r="E341" s="199"/>
      <c r="F341" s="199"/>
      <c r="G341" s="199"/>
      <c r="H341" s="199"/>
      <c r="I341" s="200"/>
      <c r="J341" s="55" t="s">
        <v>993</v>
      </c>
      <c r="K341" s="56">
        <v>2</v>
      </c>
      <c r="L341" s="56" t="s">
        <v>1014</v>
      </c>
      <c r="M341" s="57"/>
      <c r="N341" s="72">
        <v>0.44</v>
      </c>
      <c r="O341" s="70">
        <v>416.54</v>
      </c>
      <c r="P341" s="62">
        <f t="shared" ref="P341" si="35">+ROUND(PRODUCT(M341:O341)*K341/1000,3)</f>
        <v>0.36699999999999999</v>
      </c>
    </row>
    <row r="342" spans="2:16" ht="30" customHeight="1" x14ac:dyDescent="0.3">
      <c r="B342" s="56">
        <v>3</v>
      </c>
      <c r="C342" s="53" t="s">
        <v>1075</v>
      </c>
      <c r="D342" s="196" t="s">
        <v>1018</v>
      </c>
      <c r="E342" s="199"/>
      <c r="F342" s="199"/>
      <c r="G342" s="199"/>
      <c r="H342" s="199"/>
      <c r="I342" s="200"/>
      <c r="J342" s="55" t="s">
        <v>993</v>
      </c>
      <c r="K342" s="56">
        <v>1</v>
      </c>
      <c r="L342" s="56" t="s">
        <v>1080</v>
      </c>
      <c r="M342" s="57"/>
      <c r="N342" s="72">
        <v>0.44</v>
      </c>
      <c r="O342" s="70">
        <v>1997.87</v>
      </c>
      <c r="P342" s="62">
        <f t="shared" ref="P342" si="36">+ROUND(PRODUCT(M342:O342)*K342/1000,3)</f>
        <v>0.879</v>
      </c>
    </row>
    <row r="343" spans="2:16" ht="4.95" customHeight="1" x14ac:dyDescent="0.3">
      <c r="B343" s="39"/>
      <c r="C343" s="42"/>
      <c r="D343" s="40"/>
      <c r="E343" s="40"/>
      <c r="F343" s="40"/>
      <c r="G343" s="40"/>
      <c r="H343" s="41"/>
      <c r="I343" s="41"/>
      <c r="J343" s="41"/>
      <c r="K343" s="41"/>
      <c r="L343" s="41"/>
      <c r="M343" s="41"/>
      <c r="N343" s="41"/>
      <c r="O343" s="42"/>
      <c r="P343" s="43"/>
    </row>
    <row r="344" spans="2:16" ht="15" customHeight="1" x14ac:dyDescent="0.3">
      <c r="C344" s="30"/>
      <c r="D344" s="33"/>
      <c r="E344" s="33"/>
      <c r="F344" s="33"/>
      <c r="G344" s="33"/>
      <c r="H344" s="12"/>
      <c r="I344" s="12"/>
      <c r="J344" s="12"/>
      <c r="K344" s="12"/>
      <c r="L344" s="12"/>
      <c r="M344" s="12"/>
      <c r="N344" s="12"/>
      <c r="O344" s="30"/>
    </row>
    <row r="345" spans="2:16" ht="15" customHeight="1" x14ac:dyDescent="0.3">
      <c r="C345" s="30"/>
      <c r="D345" s="33"/>
      <c r="E345" s="33"/>
      <c r="F345" s="33"/>
      <c r="G345" s="33"/>
      <c r="H345" s="12"/>
      <c r="I345" s="12"/>
      <c r="J345" s="12"/>
      <c r="K345" s="12"/>
      <c r="L345" s="12"/>
      <c r="M345" s="12"/>
      <c r="N345" s="12"/>
      <c r="O345" s="30"/>
    </row>
    <row r="346" spans="2:16" ht="15" customHeight="1" x14ac:dyDescent="0.3">
      <c r="C346" s="30"/>
      <c r="D346" s="33"/>
      <c r="E346" s="33"/>
      <c r="F346" s="33"/>
      <c r="G346" s="33"/>
      <c r="H346" s="12"/>
      <c r="I346" s="12"/>
      <c r="J346" s="12"/>
      <c r="K346" s="12"/>
      <c r="L346" s="12"/>
      <c r="M346" s="12"/>
      <c r="N346" s="12"/>
      <c r="O346" s="30"/>
    </row>
    <row r="347" spans="2:16" ht="15" customHeight="1" x14ac:dyDescent="0.3">
      <c r="C347" s="30"/>
      <c r="D347" s="33"/>
      <c r="E347" s="33"/>
      <c r="F347" s="33"/>
      <c r="G347" s="33"/>
      <c r="H347" s="12"/>
      <c r="I347" s="12"/>
      <c r="J347" s="12"/>
      <c r="K347" s="12"/>
      <c r="L347" s="12"/>
      <c r="M347" s="12"/>
      <c r="N347" s="12"/>
      <c r="O347" s="30"/>
    </row>
    <row r="348" spans="2:16" ht="15" customHeight="1" x14ac:dyDescent="0.3">
      <c r="C348" s="30"/>
      <c r="D348" s="33"/>
      <c r="E348" s="33"/>
      <c r="F348" s="33"/>
      <c r="G348" s="33"/>
      <c r="H348" s="12"/>
      <c r="I348" s="12"/>
      <c r="J348" s="12"/>
      <c r="K348" s="12"/>
      <c r="L348" s="12"/>
      <c r="M348" s="12"/>
      <c r="N348" s="12"/>
      <c r="O348" s="30"/>
    </row>
    <row r="349" spans="2:16" ht="15" customHeight="1" x14ac:dyDescent="0.3">
      <c r="C349" s="30"/>
      <c r="D349" s="33"/>
      <c r="E349" s="33"/>
      <c r="F349" s="33"/>
      <c r="G349" s="33"/>
      <c r="H349" s="12"/>
      <c r="I349" s="12"/>
      <c r="J349" s="12"/>
      <c r="K349" s="12"/>
      <c r="L349" s="12"/>
      <c r="M349" s="12"/>
      <c r="N349" s="12"/>
      <c r="O349" s="30"/>
    </row>
    <row r="350" spans="2:16" ht="15" customHeight="1" x14ac:dyDescent="0.3">
      <c r="C350" s="30"/>
      <c r="D350" s="33"/>
      <c r="E350" s="33"/>
      <c r="F350" s="33"/>
      <c r="G350" s="33"/>
      <c r="H350" s="12"/>
      <c r="I350" s="12"/>
      <c r="J350" s="12"/>
      <c r="K350" s="12"/>
      <c r="L350" s="12"/>
      <c r="M350" s="12"/>
      <c r="N350" s="12"/>
      <c r="O350" s="30"/>
    </row>
    <row r="351" spans="2:16" ht="15" customHeight="1" x14ac:dyDescent="0.3">
      <c r="C351" s="30"/>
      <c r="D351" s="33"/>
      <c r="E351" s="33"/>
      <c r="F351" s="33"/>
      <c r="G351" s="33"/>
      <c r="H351" s="12"/>
      <c r="I351" s="12"/>
      <c r="J351" s="12"/>
      <c r="K351" s="12"/>
      <c r="L351" s="12"/>
      <c r="M351" s="12"/>
      <c r="N351" s="12"/>
      <c r="O351" s="30"/>
    </row>
    <row r="352" spans="2:16" ht="15" customHeight="1" x14ac:dyDescent="0.3">
      <c r="C352" s="30"/>
      <c r="D352" s="33"/>
      <c r="E352" s="33"/>
      <c r="F352" s="33"/>
      <c r="G352" s="33"/>
      <c r="H352" s="12"/>
      <c r="I352" s="12"/>
      <c r="J352" s="12"/>
      <c r="K352" s="12"/>
      <c r="L352" s="12"/>
      <c r="M352" s="12"/>
      <c r="N352" s="12"/>
      <c r="O352" s="30"/>
    </row>
    <row r="354" spans="2:16" ht="15" customHeight="1" x14ac:dyDescent="0.3">
      <c r="B354" s="214"/>
      <c r="C354" s="214"/>
      <c r="D354" s="214"/>
      <c r="E354" s="214"/>
      <c r="F354" s="214"/>
      <c r="G354" s="214"/>
      <c r="H354" s="215"/>
      <c r="I354" s="215"/>
      <c r="J354" s="215"/>
      <c r="K354" s="215"/>
      <c r="L354" s="215"/>
      <c r="M354" s="214"/>
      <c r="N354" s="214"/>
      <c r="O354" s="214"/>
      <c r="P354" s="214"/>
    </row>
    <row r="355" spans="2:16" ht="15" customHeight="1" x14ac:dyDescent="0.3">
      <c r="B355" s="210"/>
      <c r="C355" s="210"/>
      <c r="D355" s="210"/>
      <c r="E355" s="210"/>
      <c r="F355" s="210"/>
      <c r="G355" s="210"/>
      <c r="H355" s="211"/>
      <c r="I355" s="211"/>
      <c r="J355" s="211"/>
      <c r="K355" s="211"/>
      <c r="L355" s="211"/>
      <c r="M355" s="211"/>
      <c r="N355" s="211"/>
      <c r="O355" s="211"/>
      <c r="P355" s="211"/>
    </row>
    <row r="356" spans="2:16" ht="15" customHeight="1" x14ac:dyDescent="0.3">
      <c r="B356" s="30"/>
      <c r="C356" s="30"/>
      <c r="D356" s="30"/>
      <c r="E356" s="30"/>
      <c r="F356" s="30"/>
      <c r="G356" s="30"/>
      <c r="H356" s="31"/>
      <c r="I356" s="31"/>
      <c r="J356" s="31"/>
      <c r="K356" s="32"/>
      <c r="L356" s="32"/>
      <c r="M356" s="211"/>
      <c r="N356" s="211"/>
      <c r="O356" s="211"/>
      <c r="P356" s="211"/>
    </row>
    <row r="357" spans="2:16" ht="15" customHeight="1" x14ac:dyDescent="0.3">
      <c r="M357" s="211"/>
      <c r="N357" s="211"/>
      <c r="O357" s="211"/>
      <c r="P357" s="211"/>
    </row>
    <row r="366" spans="2:16" ht="15" customHeight="1" x14ac:dyDescent="0.3">
      <c r="B366" s="210"/>
      <c r="C366" s="210"/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/>
      <c r="P366" s="210"/>
    </row>
    <row r="367" spans="2:16" ht="15" customHeight="1" x14ac:dyDescent="0.3">
      <c r="B367" s="210"/>
      <c r="C367" s="210"/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</row>
  </sheetData>
  <mergeCells count="74">
    <mergeCell ref="D190:L190"/>
    <mergeCell ref="D200:L200"/>
    <mergeCell ref="D208:L208"/>
    <mergeCell ref="D258:L258"/>
    <mergeCell ref="D183:L183"/>
    <mergeCell ref="D191:L191"/>
    <mergeCell ref="D201:L201"/>
    <mergeCell ref="D209:L209"/>
    <mergeCell ref="D16:L16"/>
    <mergeCell ref="D17:L17"/>
    <mergeCell ref="D98:L98"/>
    <mergeCell ref="D99:L99"/>
    <mergeCell ref="D182:L182"/>
    <mergeCell ref="M367:P367"/>
    <mergeCell ref="D331:I331"/>
    <mergeCell ref="M355:P357"/>
    <mergeCell ref="M366:P366"/>
    <mergeCell ref="D338:I338"/>
    <mergeCell ref="M354:P354"/>
    <mergeCell ref="B367:G367"/>
    <mergeCell ref="H367:L367"/>
    <mergeCell ref="B354:G354"/>
    <mergeCell ref="H354:L354"/>
    <mergeCell ref="B355:G355"/>
    <mergeCell ref="H355:L355"/>
    <mergeCell ref="B366:G366"/>
    <mergeCell ref="H366:L366"/>
    <mergeCell ref="D332:I332"/>
    <mergeCell ref="D337:I337"/>
    <mergeCell ref="D302:N302"/>
    <mergeCell ref="B259:C259"/>
    <mergeCell ref="B200:C200"/>
    <mergeCell ref="B201:C201"/>
    <mergeCell ref="D333:I333"/>
    <mergeCell ref="B266:G266"/>
    <mergeCell ref="H266:L266"/>
    <mergeCell ref="M266:P266"/>
    <mergeCell ref="B302:C302"/>
    <mergeCell ref="B301:C301"/>
    <mergeCell ref="B268:C268"/>
    <mergeCell ref="B267:C267"/>
    <mergeCell ref="B316:C316"/>
    <mergeCell ref="D259:L259"/>
    <mergeCell ref="D268:L268"/>
    <mergeCell ref="D317:L317"/>
    <mergeCell ref="D339:I339"/>
    <mergeCell ref="D340:I340"/>
    <mergeCell ref="D342:I342"/>
    <mergeCell ref="D341:I341"/>
    <mergeCell ref="D316:L316"/>
    <mergeCell ref="D336:I336"/>
    <mergeCell ref="D335:I335"/>
    <mergeCell ref="D334:I334"/>
    <mergeCell ref="B99:C99"/>
    <mergeCell ref="B98:C98"/>
    <mergeCell ref="B182:C182"/>
    <mergeCell ref="B183:C183"/>
    <mergeCell ref="B317:C317"/>
    <mergeCell ref="D267:L267"/>
    <mergeCell ref="D301:L301"/>
    <mergeCell ref="A2:Q2"/>
    <mergeCell ref="A3:Q3"/>
    <mergeCell ref="A4:Q4"/>
    <mergeCell ref="A7:Q7"/>
    <mergeCell ref="A9:Q9"/>
    <mergeCell ref="B258:C258"/>
    <mergeCell ref="B208:C208"/>
    <mergeCell ref="B209:C209"/>
    <mergeCell ref="B190:C190"/>
    <mergeCell ref="B191:C191"/>
    <mergeCell ref="A11:Q11"/>
    <mergeCell ref="D14:E14"/>
    <mergeCell ref="B16:C16"/>
    <mergeCell ref="B17:C17"/>
  </mergeCells>
  <pageMargins left="0.43307086614173229" right="0.23622047244094491" top="0.35433070866141736" bottom="0.98425196850393704" header="0.31496062992125984" footer="0.31496062992125984"/>
  <pageSetup paperSize="9" scale="54" fitToHeight="0" orientation="portrait" r:id="rId1"/>
  <headerFooter>
    <oddFooter>&amp;C&amp;G</oddFooter>
  </headerFooter>
  <rowBreaks count="4" manualBreakCount="4">
    <brk id="78" max="16" man="1"/>
    <brk id="143" max="16" man="1"/>
    <brk id="206" max="16" man="1"/>
    <brk id="272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485" sqref="H485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10</v>
      </c>
      <c r="B1" s="18" t="s">
        <v>11</v>
      </c>
      <c r="C1" s="18" t="s">
        <v>12</v>
      </c>
      <c r="D1" s="19" t="s">
        <v>13</v>
      </c>
      <c r="E1" s="19" t="s">
        <v>14</v>
      </c>
      <c r="F1" s="19" t="s">
        <v>15</v>
      </c>
      <c r="G1" s="19" t="s">
        <v>16</v>
      </c>
    </row>
    <row r="2" spans="1:7" hidden="1" x14ac:dyDescent="0.3">
      <c r="A2" s="20">
        <v>1</v>
      </c>
      <c r="B2" s="21" t="s">
        <v>17</v>
      </c>
      <c r="C2" s="20" t="s">
        <v>18</v>
      </c>
      <c r="D2" s="22" t="s">
        <v>19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20</v>
      </c>
      <c r="C3" s="20" t="s">
        <v>21</v>
      </c>
      <c r="D3" s="22" t="s">
        <v>22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23</v>
      </c>
      <c r="C4" s="20" t="s">
        <v>24</v>
      </c>
      <c r="D4" s="22" t="s">
        <v>22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25</v>
      </c>
      <c r="C5" s="20" t="s">
        <v>26</v>
      </c>
      <c r="D5" s="22" t="s">
        <v>22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27</v>
      </c>
      <c r="C6" s="20" t="s">
        <v>28</v>
      </c>
      <c r="D6" s="22" t="s">
        <v>22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29</v>
      </c>
      <c r="C7" s="20" t="s">
        <v>30</v>
      </c>
      <c r="D7" s="22" t="s">
        <v>22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31</v>
      </c>
      <c r="C8" s="20" t="s">
        <v>32</v>
      </c>
      <c r="D8" s="22" t="s">
        <v>22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33</v>
      </c>
      <c r="C9" s="20" t="s">
        <v>34</v>
      </c>
      <c r="D9" s="22" t="s">
        <v>22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35</v>
      </c>
      <c r="C10" s="20" t="s">
        <v>36</v>
      </c>
      <c r="D10" s="22" t="s">
        <v>37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38</v>
      </c>
      <c r="C11" s="20" t="s">
        <v>39</v>
      </c>
      <c r="D11" s="22" t="s">
        <v>37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40</v>
      </c>
      <c r="C12" s="20" t="s">
        <v>41</v>
      </c>
      <c r="D12" s="22" t="s">
        <v>42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43</v>
      </c>
      <c r="C13" s="20" t="s">
        <v>44</v>
      </c>
      <c r="D13" s="22" t="s">
        <v>42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45</v>
      </c>
      <c r="C14" s="20" t="s">
        <v>46</v>
      </c>
      <c r="D14" s="22" t="s">
        <v>42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47</v>
      </c>
      <c r="C15" s="20" t="s">
        <v>48</v>
      </c>
      <c r="D15" s="22" t="s">
        <v>42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49</v>
      </c>
      <c r="C16" s="20" t="s">
        <v>50</v>
      </c>
      <c r="D16" s="22" t="s">
        <v>19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51</v>
      </c>
      <c r="C17" s="20" t="s">
        <v>52</v>
      </c>
      <c r="D17" s="22" t="s">
        <v>22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53</v>
      </c>
      <c r="C18" s="20" t="s">
        <v>54</v>
      </c>
      <c r="D18" s="22" t="s">
        <v>22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55</v>
      </c>
      <c r="C19" s="20" t="s">
        <v>56</v>
      </c>
      <c r="D19" s="22" t="s">
        <v>57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58</v>
      </c>
      <c r="C20" s="20" t="s">
        <v>59</v>
      </c>
      <c r="D20" s="22" t="s">
        <v>57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60</v>
      </c>
      <c r="C21" s="20" t="s">
        <v>61</v>
      </c>
      <c r="D21" s="22" t="s">
        <v>19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62</v>
      </c>
      <c r="C22" s="20" t="s">
        <v>63</v>
      </c>
      <c r="D22" s="22" t="s">
        <v>19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64</v>
      </c>
      <c r="C23" s="20" t="s">
        <v>65</v>
      </c>
      <c r="D23" s="22" t="s">
        <v>19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66</v>
      </c>
      <c r="C24" s="20" t="s">
        <v>67</v>
      </c>
      <c r="D24" s="22" t="s">
        <v>37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68</v>
      </c>
      <c r="C25" s="20" t="s">
        <v>69</v>
      </c>
      <c r="D25" s="22" t="s">
        <v>19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70</v>
      </c>
      <c r="C26" s="20" t="s">
        <v>71</v>
      </c>
      <c r="D26" s="22" t="s">
        <v>19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72</v>
      </c>
      <c r="C27" s="20" t="s">
        <v>73</v>
      </c>
      <c r="D27" s="22" t="s">
        <v>19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74</v>
      </c>
      <c r="C28" s="20" t="s">
        <v>75</v>
      </c>
      <c r="D28" s="22" t="s">
        <v>19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76</v>
      </c>
      <c r="C29" s="20" t="s">
        <v>77</v>
      </c>
      <c r="D29" s="22" t="s">
        <v>19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78</v>
      </c>
      <c r="C30" s="20" t="s">
        <v>79</v>
      </c>
      <c r="D30" s="22" t="s">
        <v>19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80</v>
      </c>
      <c r="C31" s="20" t="s">
        <v>81</v>
      </c>
      <c r="D31" s="22" t="s">
        <v>82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83</v>
      </c>
      <c r="C32" s="20" t="s">
        <v>84</v>
      </c>
      <c r="D32" s="22" t="s">
        <v>82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85</v>
      </c>
      <c r="C33" s="20" t="s">
        <v>86</v>
      </c>
      <c r="D33" s="22" t="s">
        <v>82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87</v>
      </c>
      <c r="C34" s="20" t="s">
        <v>88</v>
      </c>
      <c r="D34" s="22" t="s">
        <v>82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89</v>
      </c>
      <c r="C35" s="20" t="s">
        <v>90</v>
      </c>
      <c r="D35" s="22" t="s">
        <v>19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91</v>
      </c>
      <c r="C36" s="20" t="s">
        <v>92</v>
      </c>
      <c r="D36" s="22" t="s">
        <v>19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93</v>
      </c>
      <c r="C37" s="20" t="s">
        <v>94</v>
      </c>
      <c r="D37" s="22" t="s">
        <v>19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95</v>
      </c>
      <c r="C38" s="20" t="s">
        <v>96</v>
      </c>
      <c r="D38" s="22" t="s">
        <v>19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97</v>
      </c>
      <c r="C39" s="20" t="s">
        <v>98</v>
      </c>
      <c r="D39" s="22" t="s">
        <v>82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99</v>
      </c>
      <c r="C40" s="20" t="s">
        <v>100</v>
      </c>
      <c r="D40" s="22" t="s">
        <v>82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101</v>
      </c>
      <c r="C41" s="20" t="s">
        <v>102</v>
      </c>
      <c r="D41" s="22" t="s">
        <v>82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103</v>
      </c>
      <c r="C42" s="20" t="s">
        <v>104</v>
      </c>
      <c r="D42" s="22" t="s">
        <v>82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105</v>
      </c>
      <c r="C43" s="20" t="s">
        <v>106</v>
      </c>
      <c r="D43" s="22" t="s">
        <v>82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107</v>
      </c>
      <c r="C44" s="20" t="s">
        <v>108</v>
      </c>
      <c r="D44" s="22" t="s">
        <v>82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109</v>
      </c>
      <c r="C45" s="20" t="s">
        <v>110</v>
      </c>
      <c r="D45" s="22" t="s">
        <v>82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111</v>
      </c>
      <c r="C46" s="20" t="s">
        <v>112</v>
      </c>
      <c r="D46" s="22" t="s">
        <v>82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113</v>
      </c>
      <c r="C47" s="20" t="s">
        <v>114</v>
      </c>
      <c r="D47" s="22" t="s">
        <v>82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115</v>
      </c>
      <c r="C48" s="20" t="s">
        <v>116</v>
      </c>
      <c r="D48" s="22" t="s">
        <v>82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117</v>
      </c>
      <c r="C49" s="20" t="s">
        <v>118</v>
      </c>
      <c r="D49" s="22" t="s">
        <v>82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119</v>
      </c>
      <c r="C50" s="20" t="s">
        <v>120</v>
      </c>
      <c r="D50" s="22" t="s">
        <v>22</v>
      </c>
      <c r="E50" s="26">
        <v>186392.65</v>
      </c>
      <c r="F50" s="24">
        <v>5075</v>
      </c>
      <c r="G50" s="25">
        <f t="shared" si="0"/>
        <v>945942698.75</v>
      </c>
      <c r="H50" s="9">
        <f>+İcmal!L20</f>
        <v>2044.3040000000001</v>
      </c>
    </row>
    <row r="51" spans="1:8" x14ac:dyDescent="0.3">
      <c r="A51" s="20">
        <v>50</v>
      </c>
      <c r="B51" s="20" t="s">
        <v>121</v>
      </c>
      <c r="C51" s="20" t="s">
        <v>122</v>
      </c>
      <c r="D51" s="22" t="s">
        <v>22</v>
      </c>
      <c r="E51" s="20">
        <v>910</v>
      </c>
      <c r="F51" s="24">
        <v>600</v>
      </c>
      <c r="G51" s="25">
        <f t="shared" si="0"/>
        <v>546000</v>
      </c>
      <c r="H51" s="9" t="str">
        <f>+İcmal!L21</f>
        <v/>
      </c>
    </row>
    <row r="52" spans="1:8" x14ac:dyDescent="0.3">
      <c r="A52" s="20">
        <v>51</v>
      </c>
      <c r="B52" s="20" t="s">
        <v>123</v>
      </c>
      <c r="C52" s="20" t="s">
        <v>32</v>
      </c>
      <c r="D52" s="22" t="s">
        <v>22</v>
      </c>
      <c r="E52" s="23">
        <v>1785</v>
      </c>
      <c r="F52" s="24">
        <v>1500</v>
      </c>
      <c r="G52" s="25">
        <f t="shared" si="0"/>
        <v>2677500</v>
      </c>
      <c r="H52" s="9" t="str">
        <f>+İcmal!L22</f>
        <v/>
      </c>
    </row>
    <row r="53" spans="1:8" x14ac:dyDescent="0.3">
      <c r="A53" s="20">
        <v>52</v>
      </c>
      <c r="B53" s="21" t="s">
        <v>124</v>
      </c>
      <c r="C53" s="20" t="s">
        <v>125</v>
      </c>
      <c r="D53" s="22" t="s">
        <v>22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+İcmal!L23</f>
        <v>496.02699999999999</v>
      </c>
    </row>
    <row r="54" spans="1:8" x14ac:dyDescent="0.3">
      <c r="A54" s="20">
        <v>53</v>
      </c>
      <c r="B54" s="20" t="s">
        <v>126</v>
      </c>
      <c r="C54" s="20" t="s">
        <v>127</v>
      </c>
      <c r="D54" s="22" t="s">
        <v>37</v>
      </c>
      <c r="E54" s="26">
        <v>19569.89</v>
      </c>
      <c r="F54" s="24">
        <v>248</v>
      </c>
      <c r="G54" s="25">
        <f t="shared" si="0"/>
        <v>4853332.72</v>
      </c>
      <c r="H54" s="9" t="str">
        <f>+İcmal!L24</f>
        <v/>
      </c>
    </row>
    <row r="55" spans="1:8" x14ac:dyDescent="0.3">
      <c r="A55" s="20">
        <v>54</v>
      </c>
      <c r="B55" s="20" t="s">
        <v>128</v>
      </c>
      <c r="C55" s="20" t="s">
        <v>129</v>
      </c>
      <c r="D55" s="22" t="s">
        <v>37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+İcmal!L25</f>
        <v/>
      </c>
    </row>
    <row r="56" spans="1:8" x14ac:dyDescent="0.3">
      <c r="A56" s="20">
        <v>55</v>
      </c>
      <c r="B56" s="20" t="s">
        <v>130</v>
      </c>
      <c r="C56" s="20" t="s">
        <v>41</v>
      </c>
      <c r="D56" s="22" t="s">
        <v>42</v>
      </c>
      <c r="E56" s="20">
        <v>800</v>
      </c>
      <c r="F56" s="24">
        <v>2250</v>
      </c>
      <c r="G56" s="25">
        <f t="shared" si="0"/>
        <v>1800000</v>
      </c>
      <c r="H56" s="9" t="str">
        <f>+İcmal!L26</f>
        <v/>
      </c>
    </row>
    <row r="57" spans="1:8" x14ac:dyDescent="0.3">
      <c r="A57" s="20">
        <v>56</v>
      </c>
      <c r="B57" s="20" t="s">
        <v>131</v>
      </c>
      <c r="C57" s="20" t="s">
        <v>44</v>
      </c>
      <c r="D57" s="22" t="s">
        <v>42</v>
      </c>
      <c r="E57" s="26">
        <v>2466.42</v>
      </c>
      <c r="F57" s="24">
        <v>8000</v>
      </c>
      <c r="G57" s="25">
        <f t="shared" si="0"/>
        <v>19731360</v>
      </c>
      <c r="H57" s="9">
        <f>+İcmal!L27</f>
        <v>275</v>
      </c>
    </row>
    <row r="58" spans="1:8" x14ac:dyDescent="0.3">
      <c r="A58" s="20">
        <v>57</v>
      </c>
      <c r="B58" s="20" t="s">
        <v>132</v>
      </c>
      <c r="C58" s="20" t="s">
        <v>46</v>
      </c>
      <c r="D58" s="22" t="s">
        <v>42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+İcmal!L28</f>
        <v/>
      </c>
    </row>
    <row r="59" spans="1:8" x14ac:dyDescent="0.3">
      <c r="A59" s="20">
        <v>58</v>
      </c>
      <c r="B59" s="20" t="s">
        <v>133</v>
      </c>
      <c r="C59" s="20" t="s">
        <v>48</v>
      </c>
      <c r="D59" s="22" t="s">
        <v>42</v>
      </c>
      <c r="E59" s="23">
        <v>2970</v>
      </c>
      <c r="F59" s="24">
        <v>12000</v>
      </c>
      <c r="G59" s="25">
        <f t="shared" si="0"/>
        <v>35640000</v>
      </c>
      <c r="H59" s="9" t="str">
        <f>+İcmal!L29</f>
        <v/>
      </c>
    </row>
    <row r="60" spans="1:8" x14ac:dyDescent="0.3">
      <c r="A60" s="20">
        <v>59</v>
      </c>
      <c r="B60" s="20" t="s">
        <v>134</v>
      </c>
      <c r="C60" s="20" t="s">
        <v>135</v>
      </c>
      <c r="D60" s="22" t="s">
        <v>42</v>
      </c>
      <c r="E60" s="26">
        <v>7008.23</v>
      </c>
      <c r="F60" s="24">
        <v>28000</v>
      </c>
      <c r="G60" s="25">
        <f t="shared" si="0"/>
        <v>196230440</v>
      </c>
      <c r="H60" s="9">
        <f>+İcmal!L30</f>
        <v>287</v>
      </c>
    </row>
    <row r="61" spans="1:8" x14ac:dyDescent="0.3">
      <c r="A61" s="20">
        <v>60</v>
      </c>
      <c r="B61" s="20" t="s">
        <v>136</v>
      </c>
      <c r="C61" s="20" t="s">
        <v>36</v>
      </c>
      <c r="D61" s="22" t="s">
        <v>37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+İcmal!L31</f>
        <v>1854</v>
      </c>
    </row>
    <row r="62" spans="1:8" x14ac:dyDescent="0.3">
      <c r="A62" s="20">
        <v>61</v>
      </c>
      <c r="B62" s="20" t="s">
        <v>137</v>
      </c>
      <c r="C62" s="20" t="s">
        <v>39</v>
      </c>
      <c r="D62" s="22" t="s">
        <v>37</v>
      </c>
      <c r="E62" s="23">
        <v>145635</v>
      </c>
      <c r="F62" s="24">
        <v>388</v>
      </c>
      <c r="G62" s="25">
        <f t="shared" si="0"/>
        <v>56506380</v>
      </c>
      <c r="H62" s="9" t="str">
        <f>+İcmal!L32</f>
        <v/>
      </c>
    </row>
    <row r="63" spans="1:8" x14ac:dyDescent="0.3">
      <c r="A63" s="20">
        <v>62</v>
      </c>
      <c r="B63" s="21" t="s">
        <v>138</v>
      </c>
      <c r="C63" s="20" t="s">
        <v>139</v>
      </c>
      <c r="D63" s="22" t="s">
        <v>57</v>
      </c>
      <c r="E63" s="23">
        <v>8410</v>
      </c>
      <c r="F63" s="24">
        <v>102000</v>
      </c>
      <c r="G63" s="25">
        <f t="shared" si="0"/>
        <v>857820000</v>
      </c>
      <c r="H63" s="9">
        <f>+İcmal!L33</f>
        <v>92.102999999999994</v>
      </c>
    </row>
    <row r="64" spans="1:8" x14ac:dyDescent="0.3">
      <c r="A64" s="20">
        <v>63</v>
      </c>
      <c r="B64" s="21" t="s">
        <v>140</v>
      </c>
      <c r="C64" s="20" t="s">
        <v>141</v>
      </c>
      <c r="D64" s="22" t="s">
        <v>37</v>
      </c>
      <c r="E64" s="26">
        <v>360205.7</v>
      </c>
      <c r="F64" s="24">
        <v>3400</v>
      </c>
      <c r="G64" s="25">
        <f t="shared" si="0"/>
        <v>1224699380</v>
      </c>
      <c r="H64" s="9">
        <f>+İcmal!L34</f>
        <v>4653</v>
      </c>
    </row>
    <row r="65" spans="1:8" x14ac:dyDescent="0.3">
      <c r="A65" s="20">
        <v>64</v>
      </c>
      <c r="B65" s="20" t="s">
        <v>142</v>
      </c>
      <c r="C65" s="20" t="s">
        <v>143</v>
      </c>
      <c r="D65" s="22" t="s">
        <v>19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+İcmal!L35</f>
        <v/>
      </c>
    </row>
    <row r="66" spans="1:8" x14ac:dyDescent="0.3">
      <c r="A66" s="20">
        <v>65</v>
      </c>
      <c r="B66" s="20" t="s">
        <v>144</v>
      </c>
      <c r="C66" s="20" t="s">
        <v>145</v>
      </c>
      <c r="D66" s="22" t="s">
        <v>19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+İcmal!L36</f>
        <v/>
      </c>
    </row>
    <row r="67" spans="1:8" x14ac:dyDescent="0.3">
      <c r="A67" s="20">
        <v>66</v>
      </c>
      <c r="B67" s="21" t="s">
        <v>146</v>
      </c>
      <c r="C67" s="20" t="s">
        <v>147</v>
      </c>
      <c r="D67" s="22" t="s">
        <v>37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+İcmal!L37</f>
        <v/>
      </c>
    </row>
    <row r="68" spans="1:8" x14ac:dyDescent="0.3">
      <c r="A68" s="20">
        <v>67</v>
      </c>
      <c r="B68" s="20" t="s">
        <v>148</v>
      </c>
      <c r="C68" s="20" t="s">
        <v>149</v>
      </c>
      <c r="D68" s="22" t="s">
        <v>19</v>
      </c>
      <c r="E68" s="26">
        <v>24185.25</v>
      </c>
      <c r="F68" s="24">
        <v>4150</v>
      </c>
      <c r="G68" s="25">
        <f t="shared" si="1"/>
        <v>100368787.5</v>
      </c>
      <c r="H68" s="9" t="str">
        <f>+İcmal!L38</f>
        <v/>
      </c>
    </row>
    <row r="69" spans="1:8" x14ac:dyDescent="0.3">
      <c r="A69" s="20">
        <v>68</v>
      </c>
      <c r="B69" s="20" t="s">
        <v>150</v>
      </c>
      <c r="C69" s="20" t="s">
        <v>151</v>
      </c>
      <c r="D69" s="22" t="s">
        <v>19</v>
      </c>
      <c r="E69" s="26">
        <v>59207.42</v>
      </c>
      <c r="F69" s="24">
        <v>1500</v>
      </c>
      <c r="G69" s="25">
        <f t="shared" si="1"/>
        <v>88811130</v>
      </c>
      <c r="H69" s="9" t="str">
        <f>+İcmal!L39</f>
        <v/>
      </c>
    </row>
    <row r="70" spans="1:8" x14ac:dyDescent="0.3">
      <c r="A70" s="20">
        <v>69</v>
      </c>
      <c r="B70" s="20" t="s">
        <v>152</v>
      </c>
      <c r="C70" s="20" t="s">
        <v>153</v>
      </c>
      <c r="D70" s="22" t="s">
        <v>19</v>
      </c>
      <c r="E70" s="26">
        <v>36357.33</v>
      </c>
      <c r="F70" s="24">
        <v>500</v>
      </c>
      <c r="G70" s="25">
        <f t="shared" si="1"/>
        <v>18178665</v>
      </c>
      <c r="H70" s="9" t="str">
        <f>+İcmal!L40</f>
        <v/>
      </c>
    </row>
    <row r="71" spans="1:8" x14ac:dyDescent="0.3">
      <c r="A71" s="20">
        <v>70</v>
      </c>
      <c r="B71" s="20" t="s">
        <v>154</v>
      </c>
      <c r="C71" s="20" t="s">
        <v>155</v>
      </c>
      <c r="D71" s="22" t="s">
        <v>22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+İcmal!L41</f>
        <v/>
      </c>
    </row>
    <row r="72" spans="1:8" x14ac:dyDescent="0.3">
      <c r="A72" s="20">
        <v>71</v>
      </c>
      <c r="B72" s="20" t="s">
        <v>156</v>
      </c>
      <c r="C72" s="20" t="s">
        <v>157</v>
      </c>
      <c r="D72" s="22" t="s">
        <v>22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+İcmal!L42</f>
        <v/>
      </c>
    </row>
    <row r="73" spans="1:8" x14ac:dyDescent="0.3">
      <c r="A73" s="20">
        <v>72</v>
      </c>
      <c r="B73" s="20" t="s">
        <v>158</v>
      </c>
      <c r="C73" s="20" t="s">
        <v>159</v>
      </c>
      <c r="D73" s="22" t="s">
        <v>22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+İcmal!L43</f>
        <v/>
      </c>
    </row>
    <row r="74" spans="1:8" x14ac:dyDescent="0.3">
      <c r="A74" s="20">
        <v>73</v>
      </c>
      <c r="B74" s="20" t="s">
        <v>160</v>
      </c>
      <c r="C74" s="20" t="s">
        <v>161</v>
      </c>
      <c r="D74" s="22" t="s">
        <v>22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+İcmal!L44</f>
        <v/>
      </c>
    </row>
    <row r="75" spans="1:8" x14ac:dyDescent="0.3">
      <c r="A75" s="20">
        <v>74</v>
      </c>
      <c r="B75" s="20" t="s">
        <v>162</v>
      </c>
      <c r="C75" s="20" t="s">
        <v>163</v>
      </c>
      <c r="D75" s="22" t="s">
        <v>57</v>
      </c>
      <c r="E75" s="20">
        <v>62.29</v>
      </c>
      <c r="F75" s="24">
        <v>46250</v>
      </c>
      <c r="G75" s="25">
        <f t="shared" si="1"/>
        <v>2880912.5</v>
      </c>
      <c r="H75" s="9">
        <f>+İcmal!L45</f>
        <v>6.8220000000000001</v>
      </c>
    </row>
    <row r="76" spans="1:8" x14ac:dyDescent="0.3">
      <c r="A76" s="20">
        <v>75</v>
      </c>
      <c r="B76" s="20" t="s">
        <v>164</v>
      </c>
      <c r="C76" s="20" t="s">
        <v>165</v>
      </c>
      <c r="D76" s="22" t="s">
        <v>57</v>
      </c>
      <c r="E76" s="26">
        <v>4367.51</v>
      </c>
      <c r="F76" s="24">
        <v>92500</v>
      </c>
      <c r="G76" s="25">
        <f t="shared" si="1"/>
        <v>403994675</v>
      </c>
      <c r="H76" s="9">
        <f>+İcmal!L46</f>
        <v>0</v>
      </c>
    </row>
    <row r="77" spans="1:8" x14ac:dyDescent="0.3">
      <c r="A77" s="20">
        <v>76</v>
      </c>
      <c r="B77" s="20" t="s">
        <v>166</v>
      </c>
      <c r="C77" s="20" t="s">
        <v>167</v>
      </c>
      <c r="D77" s="22" t="s">
        <v>57</v>
      </c>
      <c r="E77" s="26">
        <v>2581.33</v>
      </c>
      <c r="F77" s="24">
        <v>97333</v>
      </c>
      <c r="G77" s="25">
        <f t="shared" si="1"/>
        <v>251248592.88999999</v>
      </c>
      <c r="H77" s="9">
        <f>+İcmal!L47</f>
        <v>31.791</v>
      </c>
    </row>
    <row r="78" spans="1:8" x14ac:dyDescent="0.3">
      <c r="A78" s="20">
        <v>77</v>
      </c>
      <c r="B78" s="20" t="s">
        <v>168</v>
      </c>
      <c r="C78" s="20" t="s">
        <v>169</v>
      </c>
      <c r="D78" s="22" t="s">
        <v>170</v>
      </c>
      <c r="E78" s="23">
        <v>3500</v>
      </c>
      <c r="F78" s="24">
        <v>150</v>
      </c>
      <c r="G78" s="25">
        <f t="shared" si="1"/>
        <v>525000</v>
      </c>
      <c r="H78" s="9" t="str">
        <f>+İcmal!L48</f>
        <v/>
      </c>
    </row>
    <row r="79" spans="1:8" x14ac:dyDescent="0.3">
      <c r="A79" s="20">
        <v>78</v>
      </c>
      <c r="B79" s="20" t="s">
        <v>171</v>
      </c>
      <c r="C79" s="20" t="s">
        <v>172</v>
      </c>
      <c r="D79" s="22" t="s">
        <v>170</v>
      </c>
      <c r="E79" s="23">
        <v>4500</v>
      </c>
      <c r="F79" s="24">
        <v>180</v>
      </c>
      <c r="G79" s="25">
        <f t="shared" si="1"/>
        <v>810000</v>
      </c>
      <c r="H79" s="9" t="str">
        <f>+İcmal!L49</f>
        <v/>
      </c>
    </row>
    <row r="80" spans="1:8" hidden="1" x14ac:dyDescent="0.3">
      <c r="A80" s="20">
        <v>79</v>
      </c>
      <c r="B80" s="21" t="s">
        <v>173</v>
      </c>
      <c r="C80" s="20" t="s">
        <v>4</v>
      </c>
      <c r="D80" s="22" t="s">
        <v>37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174</v>
      </c>
      <c r="C81" s="20" t="s">
        <v>175</v>
      </c>
      <c r="D81" s="22" t="s">
        <v>37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176</v>
      </c>
      <c r="C82" s="20" t="s">
        <v>177</v>
      </c>
      <c r="D82" s="22" t="s">
        <v>82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178</v>
      </c>
      <c r="C83" s="20" t="s">
        <v>179</v>
      </c>
      <c r="D83" s="22" t="s">
        <v>82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180</v>
      </c>
      <c r="C84" s="20" t="s">
        <v>181</v>
      </c>
      <c r="D84" s="22" t="s">
        <v>19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182</v>
      </c>
      <c r="C85" s="20" t="s">
        <v>183</v>
      </c>
      <c r="D85" s="22" t="s">
        <v>19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184</v>
      </c>
      <c r="C86" s="20" t="s">
        <v>185</v>
      </c>
      <c r="D86" s="22" t="s">
        <v>22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186</v>
      </c>
      <c r="C87" s="20" t="s">
        <v>187</v>
      </c>
      <c r="D87" s="22" t="s">
        <v>19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188</v>
      </c>
      <c r="C88" s="20" t="s">
        <v>189</v>
      </c>
      <c r="D88" s="22" t="s">
        <v>19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190</v>
      </c>
      <c r="C89" s="20" t="s">
        <v>191</v>
      </c>
      <c r="D89" s="22" t="s">
        <v>19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192</v>
      </c>
      <c r="C90" s="20" t="s">
        <v>193</v>
      </c>
      <c r="D90" s="22" t="s">
        <v>19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194</v>
      </c>
      <c r="C91" s="20" t="s">
        <v>195</v>
      </c>
      <c r="D91" s="22" t="s">
        <v>19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196</v>
      </c>
      <c r="C92" s="20" t="s">
        <v>197</v>
      </c>
      <c r="D92" s="22" t="s">
        <v>19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198</v>
      </c>
      <c r="C93" s="20" t="s">
        <v>199</v>
      </c>
      <c r="D93" s="22" t="s">
        <v>19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200</v>
      </c>
      <c r="C94" s="20" t="s">
        <v>201</v>
      </c>
      <c r="D94" s="22" t="s">
        <v>19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202</v>
      </c>
      <c r="C95" s="20" t="s">
        <v>203</v>
      </c>
      <c r="D95" s="22" t="s">
        <v>19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204</v>
      </c>
      <c r="C96" s="20" t="s">
        <v>205</v>
      </c>
      <c r="D96" s="22" t="s">
        <v>19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206</v>
      </c>
      <c r="C97" s="20" t="s">
        <v>207</v>
      </c>
      <c r="D97" s="22" t="s">
        <v>19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208</v>
      </c>
      <c r="C98" s="20" t="s">
        <v>209</v>
      </c>
      <c r="D98" s="22" t="s">
        <v>19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210</v>
      </c>
      <c r="C99" s="20" t="s">
        <v>211</v>
      </c>
      <c r="D99" s="22" t="s">
        <v>19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212</v>
      </c>
      <c r="C100" s="20" t="s">
        <v>213</v>
      </c>
      <c r="D100" s="22" t="s">
        <v>19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214</v>
      </c>
      <c r="C101" s="20" t="s">
        <v>215</v>
      </c>
      <c r="D101" s="22" t="s">
        <v>19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216</v>
      </c>
      <c r="C102" s="20" t="s">
        <v>217</v>
      </c>
      <c r="D102" s="22" t="s">
        <v>19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218</v>
      </c>
      <c r="C103" s="20" t="s">
        <v>219</v>
      </c>
      <c r="D103" s="22" t="s">
        <v>37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220</v>
      </c>
      <c r="C104" s="20" t="s">
        <v>221</v>
      </c>
      <c r="D104" s="22" t="s">
        <v>19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222</v>
      </c>
      <c r="C105" s="20" t="s">
        <v>223</v>
      </c>
      <c r="D105" s="22" t="s">
        <v>37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224</v>
      </c>
      <c r="C106" s="20" t="s">
        <v>225</v>
      </c>
      <c r="D106" s="22" t="s">
        <v>37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226</v>
      </c>
      <c r="C107" s="20" t="s">
        <v>227</v>
      </c>
      <c r="D107" s="22" t="s">
        <v>37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228</v>
      </c>
      <c r="C108" s="20" t="s">
        <v>229</v>
      </c>
      <c r="D108" s="22" t="s">
        <v>37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230</v>
      </c>
      <c r="C109" s="20" t="s">
        <v>231</v>
      </c>
      <c r="D109" s="22" t="s">
        <v>19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232</v>
      </c>
      <c r="C110" s="20" t="s">
        <v>233</v>
      </c>
      <c r="D110" s="22" t="s">
        <v>19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234</v>
      </c>
      <c r="C111" s="20" t="s">
        <v>235</v>
      </c>
      <c r="D111" s="22" t="s">
        <v>19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236</v>
      </c>
      <c r="C112" s="20" t="s">
        <v>237</v>
      </c>
      <c r="D112" s="22" t="s">
        <v>37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238</v>
      </c>
      <c r="C113" s="20" t="s">
        <v>239</v>
      </c>
      <c r="D113" s="22" t="s">
        <v>37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240</v>
      </c>
      <c r="C114" s="20" t="s">
        <v>241</v>
      </c>
      <c r="D114" s="22" t="s">
        <v>19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242</v>
      </c>
      <c r="C115" s="20" t="s">
        <v>243</v>
      </c>
      <c r="D115" s="22" t="s">
        <v>19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244</v>
      </c>
      <c r="C116" s="20" t="s">
        <v>245</v>
      </c>
      <c r="D116" s="22" t="s">
        <v>19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246</v>
      </c>
      <c r="C117" s="20" t="s">
        <v>247</v>
      </c>
      <c r="D117" s="22" t="s">
        <v>19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248</v>
      </c>
      <c r="C118" s="20" t="s">
        <v>249</v>
      </c>
      <c r="D118" s="22" t="s">
        <v>19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250</v>
      </c>
      <c r="C119" s="20" t="s">
        <v>251</v>
      </c>
      <c r="D119" s="22" t="s">
        <v>19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252</v>
      </c>
      <c r="C120" s="20" t="s">
        <v>253</v>
      </c>
      <c r="D120" s="22" t="s">
        <v>19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254</v>
      </c>
      <c r="C121" s="20" t="s">
        <v>255</v>
      </c>
      <c r="D121" s="22" t="s">
        <v>19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256</v>
      </c>
      <c r="C122" s="20" t="s">
        <v>257</v>
      </c>
      <c r="D122" s="22" t="s">
        <v>19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258</v>
      </c>
      <c r="C123" s="20" t="s">
        <v>259</v>
      </c>
      <c r="D123" s="22" t="s">
        <v>19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260</v>
      </c>
      <c r="C124" s="20" t="s">
        <v>261</v>
      </c>
      <c r="D124" s="22" t="s">
        <v>19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262</v>
      </c>
      <c r="C125" s="20" t="s">
        <v>263</v>
      </c>
      <c r="D125" s="22" t="s">
        <v>19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264</v>
      </c>
      <c r="C126" s="20" t="s">
        <v>265</v>
      </c>
      <c r="D126" s="22" t="s">
        <v>19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266</v>
      </c>
      <c r="C127" s="20" t="s">
        <v>267</v>
      </c>
      <c r="D127" s="22" t="s">
        <v>19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268</v>
      </c>
      <c r="C128" s="20" t="s">
        <v>269</v>
      </c>
      <c r="D128" s="22" t="s">
        <v>19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270</v>
      </c>
      <c r="C129" s="20" t="s">
        <v>271</v>
      </c>
      <c r="D129" s="22" t="s">
        <v>19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272</v>
      </c>
      <c r="C130" s="20" t="s">
        <v>273</v>
      </c>
      <c r="D130" s="22" t="s">
        <v>19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274</v>
      </c>
      <c r="C131" s="20" t="s">
        <v>275</v>
      </c>
      <c r="D131" s="22" t="s">
        <v>19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276</v>
      </c>
      <c r="C132" s="20" t="s">
        <v>277</v>
      </c>
      <c r="D132" s="22" t="s">
        <v>19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278</v>
      </c>
      <c r="C133" s="20" t="s">
        <v>279</v>
      </c>
      <c r="D133" s="22" t="s">
        <v>19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280</v>
      </c>
      <c r="C134" s="20" t="s">
        <v>281</v>
      </c>
      <c r="D134" s="22" t="s">
        <v>19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282</v>
      </c>
      <c r="C135" s="20" t="s">
        <v>283</v>
      </c>
      <c r="D135" s="22" t="s">
        <v>19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284</v>
      </c>
      <c r="C136" s="20" t="s">
        <v>285</v>
      </c>
      <c r="D136" s="22" t="s">
        <v>19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286</v>
      </c>
      <c r="C137" s="20" t="s">
        <v>287</v>
      </c>
      <c r="D137" s="22" t="s">
        <v>19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288</v>
      </c>
      <c r="C138" s="20" t="s">
        <v>289</v>
      </c>
      <c r="D138" s="22" t="s">
        <v>37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290</v>
      </c>
      <c r="C139" s="20" t="s">
        <v>291</v>
      </c>
      <c r="D139" s="22" t="s">
        <v>37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292</v>
      </c>
      <c r="C140" s="20" t="s">
        <v>293</v>
      </c>
      <c r="D140" s="22" t="s">
        <v>37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294</v>
      </c>
      <c r="C141" s="20" t="s">
        <v>295</v>
      </c>
      <c r="D141" s="22" t="s">
        <v>19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296</v>
      </c>
      <c r="C142" s="20" t="s">
        <v>297</v>
      </c>
      <c r="D142" s="22" t="s">
        <v>37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298</v>
      </c>
      <c r="C143" s="20" t="s">
        <v>299</v>
      </c>
      <c r="D143" s="22" t="s">
        <v>42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300</v>
      </c>
      <c r="C144" s="20" t="s">
        <v>301</v>
      </c>
      <c r="D144" s="22" t="s">
        <v>42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302</v>
      </c>
      <c r="C145" s="20" t="s">
        <v>303</v>
      </c>
      <c r="D145" s="22" t="s">
        <v>42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304</v>
      </c>
      <c r="C146" s="20" t="s">
        <v>305</v>
      </c>
      <c r="D146" s="22" t="s">
        <v>42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306</v>
      </c>
      <c r="C147" s="20" t="s">
        <v>307</v>
      </c>
      <c r="D147" s="22" t="s">
        <v>42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308</v>
      </c>
      <c r="C148" s="20" t="s">
        <v>309</v>
      </c>
      <c r="D148" s="22" t="s">
        <v>42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310</v>
      </c>
      <c r="C149" s="20" t="s">
        <v>311</v>
      </c>
      <c r="D149" s="22" t="s">
        <v>42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312</v>
      </c>
      <c r="C150" s="20" t="s">
        <v>313</v>
      </c>
      <c r="D150" s="22" t="s">
        <v>42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314</v>
      </c>
      <c r="C151" s="20" t="s">
        <v>315</v>
      </c>
      <c r="D151" s="22" t="s">
        <v>42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316</v>
      </c>
      <c r="C152" s="20" t="s">
        <v>317</v>
      </c>
      <c r="D152" s="22" t="s">
        <v>42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318</v>
      </c>
      <c r="C153" s="20" t="s">
        <v>319</v>
      </c>
      <c r="D153" s="22" t="s">
        <v>42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320</v>
      </c>
      <c r="C154" s="20" t="s">
        <v>321</v>
      </c>
      <c r="D154" s="22" t="s">
        <v>42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322</v>
      </c>
      <c r="C155" s="20" t="s">
        <v>323</v>
      </c>
      <c r="D155" s="22" t="s">
        <v>42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324</v>
      </c>
      <c r="C156" s="20" t="s">
        <v>325</v>
      </c>
      <c r="D156" s="22" t="s">
        <v>42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326</v>
      </c>
      <c r="C157" s="20" t="s">
        <v>327</v>
      </c>
      <c r="D157" s="22" t="s">
        <v>42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328</v>
      </c>
      <c r="C158" s="20" t="s">
        <v>329</v>
      </c>
      <c r="D158" s="22" t="s">
        <v>42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330</v>
      </c>
      <c r="C159" s="20" t="s">
        <v>331</v>
      </c>
      <c r="D159" s="22" t="s">
        <v>42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332</v>
      </c>
      <c r="C160" s="20" t="s">
        <v>333</v>
      </c>
      <c r="D160" s="22" t="s">
        <v>42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334</v>
      </c>
      <c r="C161" s="20" t="s">
        <v>335</v>
      </c>
      <c r="D161" s="22" t="s">
        <v>42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336</v>
      </c>
      <c r="C162" s="20" t="s">
        <v>337</v>
      </c>
      <c r="D162" s="22" t="s">
        <v>42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338</v>
      </c>
      <c r="C163" s="20" t="s">
        <v>339</v>
      </c>
      <c r="D163" s="22" t="s">
        <v>42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340</v>
      </c>
      <c r="C164" s="20" t="s">
        <v>341</v>
      </c>
      <c r="D164" s="22" t="s">
        <v>42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342</v>
      </c>
      <c r="C165" s="20" t="s">
        <v>343</v>
      </c>
      <c r="D165" s="22" t="s">
        <v>170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344</v>
      </c>
      <c r="C166" s="20" t="s">
        <v>345</v>
      </c>
      <c r="D166" s="22" t="s">
        <v>19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346</v>
      </c>
      <c r="C167" s="20" t="s">
        <v>347</v>
      </c>
      <c r="D167" s="22" t="s">
        <v>37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348</v>
      </c>
      <c r="C168" s="20" t="s">
        <v>349</v>
      </c>
      <c r="D168" s="22" t="s">
        <v>37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350</v>
      </c>
      <c r="C169" s="20" t="s">
        <v>351</v>
      </c>
      <c r="D169" s="22" t="s">
        <v>42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352</v>
      </c>
      <c r="C170" s="20" t="s">
        <v>353</v>
      </c>
      <c r="D170" s="22" t="s">
        <v>19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354</v>
      </c>
      <c r="C171" s="20" t="s">
        <v>355</v>
      </c>
      <c r="D171" s="22" t="s">
        <v>19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356</v>
      </c>
      <c r="C172" s="20" t="s">
        <v>357</v>
      </c>
      <c r="D172" s="22" t="s">
        <v>42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358</v>
      </c>
      <c r="C173" s="20" t="s">
        <v>359</v>
      </c>
      <c r="D173" s="22" t="s">
        <v>19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360</v>
      </c>
      <c r="C174" s="20" t="s">
        <v>361</v>
      </c>
      <c r="D174" s="22" t="s">
        <v>19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362</v>
      </c>
      <c r="C175" s="20" t="s">
        <v>363</v>
      </c>
      <c r="D175" s="22" t="s">
        <v>19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364</v>
      </c>
      <c r="C176" s="20" t="s">
        <v>365</v>
      </c>
      <c r="D176" s="22" t="s">
        <v>19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366</v>
      </c>
      <c r="C177" s="20" t="s">
        <v>367</v>
      </c>
      <c r="D177" s="22" t="s">
        <v>42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368</v>
      </c>
      <c r="C178" s="20" t="s">
        <v>369</v>
      </c>
      <c r="D178" s="22" t="s">
        <v>19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370</v>
      </c>
      <c r="C179" s="20" t="s">
        <v>371</v>
      </c>
      <c r="D179" s="22" t="s">
        <v>37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372</v>
      </c>
      <c r="C180" s="20" t="s">
        <v>373</v>
      </c>
      <c r="D180" s="22" t="s">
        <v>170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374</v>
      </c>
      <c r="C181" s="20" t="s">
        <v>375</v>
      </c>
      <c r="D181" s="22" t="s">
        <v>170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376</v>
      </c>
      <c r="C182" s="20" t="s">
        <v>377</v>
      </c>
      <c r="D182" s="22" t="s">
        <v>19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378</v>
      </c>
      <c r="C183" s="20" t="s">
        <v>379</v>
      </c>
      <c r="D183" s="22" t="s">
        <v>42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380</v>
      </c>
      <c r="C184" s="20" t="s">
        <v>381</v>
      </c>
      <c r="D184" s="22" t="s">
        <v>42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382</v>
      </c>
      <c r="C185" s="20" t="s">
        <v>383</v>
      </c>
      <c r="D185" s="22" t="s">
        <v>42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384</v>
      </c>
      <c r="C186" s="20" t="s">
        <v>385</v>
      </c>
      <c r="D186" s="22" t="s">
        <v>82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386</v>
      </c>
      <c r="C187" s="20" t="s">
        <v>387</v>
      </c>
      <c r="D187" s="22" t="s">
        <v>82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388</v>
      </c>
      <c r="C188" s="20" t="s">
        <v>389</v>
      </c>
      <c r="D188" s="22" t="s">
        <v>82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390</v>
      </c>
      <c r="C189" s="20" t="s">
        <v>391</v>
      </c>
      <c r="D189" s="22" t="s">
        <v>82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392</v>
      </c>
      <c r="C190" s="20" t="s">
        <v>393</v>
      </c>
      <c r="D190" s="22" t="s">
        <v>82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394</v>
      </c>
      <c r="C191" s="20" t="s">
        <v>395</v>
      </c>
      <c r="D191" s="22" t="s">
        <v>82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396</v>
      </c>
      <c r="C192" s="20" t="s">
        <v>397</v>
      </c>
      <c r="D192" s="22" t="s">
        <v>82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398</v>
      </c>
      <c r="C193" s="20" t="s">
        <v>399</v>
      </c>
      <c r="D193" s="22" t="s">
        <v>82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400</v>
      </c>
      <c r="C194" s="20" t="s">
        <v>401</v>
      </c>
      <c r="D194" s="22" t="s">
        <v>82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402</v>
      </c>
      <c r="C195" s="20" t="s">
        <v>403</v>
      </c>
      <c r="D195" s="22" t="s">
        <v>82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404</v>
      </c>
      <c r="C196" s="20" t="s">
        <v>405</v>
      </c>
      <c r="D196" s="22" t="s">
        <v>82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406</v>
      </c>
      <c r="C197" s="20" t="s">
        <v>407</v>
      </c>
      <c r="D197" s="22" t="s">
        <v>82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408</v>
      </c>
      <c r="C198" s="20" t="s">
        <v>409</v>
      </c>
      <c r="D198" s="22" t="s">
        <v>82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410</v>
      </c>
      <c r="C199" s="20" t="s">
        <v>411</v>
      </c>
      <c r="D199" s="22" t="s">
        <v>82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412</v>
      </c>
      <c r="C200" s="20" t="s">
        <v>413</v>
      </c>
      <c r="D200" s="22" t="s">
        <v>82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414</v>
      </c>
      <c r="C201" s="20" t="s">
        <v>415</v>
      </c>
      <c r="D201" s="22" t="s">
        <v>82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416</v>
      </c>
      <c r="C202" s="20" t="s">
        <v>417</v>
      </c>
      <c r="D202" s="22" t="s">
        <v>82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418</v>
      </c>
      <c r="C203" s="20" t="s">
        <v>419</v>
      </c>
      <c r="D203" s="22" t="s">
        <v>82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420</v>
      </c>
      <c r="C204" s="20" t="s">
        <v>421</v>
      </c>
      <c r="D204" s="22" t="s">
        <v>82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422</v>
      </c>
      <c r="C205" s="20" t="s">
        <v>423</v>
      </c>
      <c r="D205" s="22" t="s">
        <v>82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424</v>
      </c>
      <c r="C206" s="20" t="s">
        <v>425</v>
      </c>
      <c r="D206" s="22" t="s">
        <v>82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426</v>
      </c>
      <c r="C207" s="20" t="s">
        <v>427</v>
      </c>
      <c r="D207" s="22" t="s">
        <v>82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428</v>
      </c>
      <c r="C208" s="20" t="s">
        <v>429</v>
      </c>
      <c r="D208" s="22" t="s">
        <v>82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430</v>
      </c>
      <c r="C209" s="20" t="s">
        <v>431</v>
      </c>
      <c r="D209" s="22" t="s">
        <v>82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432</v>
      </c>
      <c r="C210" s="20" t="s">
        <v>433</v>
      </c>
      <c r="D210" s="22" t="s">
        <v>82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434</v>
      </c>
      <c r="C211" s="20" t="s">
        <v>435</v>
      </c>
      <c r="D211" s="22" t="s">
        <v>82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436</v>
      </c>
      <c r="C212" s="20" t="s">
        <v>437</v>
      </c>
      <c r="D212" s="22" t="s">
        <v>82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438</v>
      </c>
      <c r="C213" s="20" t="s">
        <v>439</v>
      </c>
      <c r="D213" s="22" t="s">
        <v>82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440</v>
      </c>
      <c r="C214" s="20" t="s">
        <v>441</v>
      </c>
      <c r="D214" s="22" t="s">
        <v>82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442</v>
      </c>
      <c r="C215" s="20" t="s">
        <v>443</v>
      </c>
      <c r="D215" s="22" t="s">
        <v>82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444</v>
      </c>
      <c r="C216" s="20" t="s">
        <v>445</v>
      </c>
      <c r="D216" s="22" t="s">
        <v>82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446</v>
      </c>
      <c r="C217" s="20" t="s">
        <v>447</v>
      </c>
      <c r="D217" s="22" t="s">
        <v>82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448</v>
      </c>
      <c r="C218" s="20" t="s">
        <v>449</v>
      </c>
      <c r="D218" s="22" t="s">
        <v>82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450</v>
      </c>
      <c r="C219" s="20" t="s">
        <v>451</v>
      </c>
      <c r="D219" s="22" t="s">
        <v>82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452</v>
      </c>
      <c r="C220" s="20" t="s">
        <v>453</v>
      </c>
      <c r="D220" s="22" t="s">
        <v>82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454</v>
      </c>
      <c r="C221" s="20" t="s">
        <v>455</v>
      </c>
      <c r="D221" s="22" t="s">
        <v>82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456</v>
      </c>
      <c r="C222" s="20" t="s">
        <v>457</v>
      </c>
      <c r="D222" s="22" t="s">
        <v>82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458</v>
      </c>
      <c r="C223" s="20" t="s">
        <v>459</v>
      </c>
      <c r="D223" s="22" t="s">
        <v>82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460</v>
      </c>
      <c r="C224" s="20" t="s">
        <v>461</v>
      </c>
      <c r="D224" s="22" t="s">
        <v>82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462</v>
      </c>
      <c r="C225" s="20" t="s">
        <v>463</v>
      </c>
      <c r="D225" s="22" t="s">
        <v>82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464</v>
      </c>
      <c r="C226" s="20" t="s">
        <v>465</v>
      </c>
      <c r="D226" s="22" t="s">
        <v>82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466</v>
      </c>
      <c r="C227" s="20" t="s">
        <v>467</v>
      </c>
      <c r="D227" s="22" t="s">
        <v>82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468</v>
      </c>
      <c r="C228" s="20" t="s">
        <v>469</v>
      </c>
      <c r="D228" s="22" t="s">
        <v>82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470</v>
      </c>
      <c r="C229" s="20" t="s">
        <v>471</v>
      </c>
      <c r="D229" s="22" t="s">
        <v>82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472</v>
      </c>
      <c r="C230" s="20" t="s">
        <v>473</v>
      </c>
      <c r="D230" s="22" t="s">
        <v>82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474</v>
      </c>
      <c r="C231" s="20" t="s">
        <v>475</v>
      </c>
      <c r="D231" s="22" t="s">
        <v>82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476</v>
      </c>
      <c r="C232" s="20" t="s">
        <v>477</v>
      </c>
      <c r="D232" s="22" t="s">
        <v>82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478</v>
      </c>
      <c r="C233" s="20" t="s">
        <v>479</v>
      </c>
      <c r="D233" s="22" t="s">
        <v>82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480</v>
      </c>
      <c r="C234" s="20" t="s">
        <v>481</v>
      </c>
      <c r="D234" s="22" t="s">
        <v>82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482</v>
      </c>
      <c r="C235" s="20" t="s">
        <v>483</v>
      </c>
      <c r="D235" s="22" t="s">
        <v>82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484</v>
      </c>
      <c r="C236" s="20" t="s">
        <v>485</v>
      </c>
      <c r="D236" s="22" t="s">
        <v>82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486</v>
      </c>
      <c r="C237" s="20" t="s">
        <v>487</v>
      </c>
      <c r="D237" s="22" t="s">
        <v>82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488</v>
      </c>
      <c r="C238" s="20" t="s">
        <v>489</v>
      </c>
      <c r="D238" s="22" t="s">
        <v>82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490</v>
      </c>
      <c r="C239" s="20" t="s">
        <v>491</v>
      </c>
      <c r="D239" s="22" t="s">
        <v>82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492</v>
      </c>
      <c r="C240" s="20" t="s">
        <v>493</v>
      </c>
      <c r="D240" s="22" t="s">
        <v>82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494</v>
      </c>
      <c r="C241" s="20" t="s">
        <v>495</v>
      </c>
      <c r="D241" s="22" t="s">
        <v>82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496</v>
      </c>
      <c r="C242" s="20" t="s">
        <v>497</v>
      </c>
      <c r="D242" s="22" t="s">
        <v>82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498</v>
      </c>
      <c r="C243" s="20" t="s">
        <v>499</v>
      </c>
      <c r="D243" s="22" t="s">
        <v>82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500</v>
      </c>
      <c r="C244" s="20" t="s">
        <v>501</v>
      </c>
      <c r="D244" s="22" t="s">
        <v>82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502</v>
      </c>
      <c r="C245" s="20" t="s">
        <v>503</v>
      </c>
      <c r="D245" s="22" t="s">
        <v>82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504</v>
      </c>
      <c r="C246" s="20" t="s">
        <v>505</v>
      </c>
      <c r="D246" s="22" t="s">
        <v>82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506</v>
      </c>
      <c r="C247" s="20" t="s">
        <v>507</v>
      </c>
      <c r="D247" s="22" t="s">
        <v>82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508</v>
      </c>
      <c r="C248" s="20" t="s">
        <v>509</v>
      </c>
      <c r="D248" s="22" t="s">
        <v>82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510</v>
      </c>
      <c r="C249" s="20" t="s">
        <v>511</v>
      </c>
      <c r="D249" s="22" t="s">
        <v>82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512</v>
      </c>
      <c r="C250" s="20" t="s">
        <v>513</v>
      </c>
      <c r="D250" s="22" t="s">
        <v>82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514</v>
      </c>
      <c r="C251" s="20" t="s">
        <v>515</v>
      </c>
      <c r="D251" s="22" t="s">
        <v>82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516</v>
      </c>
      <c r="C252" s="20" t="s">
        <v>517</v>
      </c>
      <c r="D252" s="22" t="s">
        <v>82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518</v>
      </c>
      <c r="C253" s="20" t="s">
        <v>519</v>
      </c>
      <c r="D253" s="22" t="s">
        <v>82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520</v>
      </c>
      <c r="C254" s="20" t="s">
        <v>521</v>
      </c>
      <c r="D254" s="22" t="s">
        <v>82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522</v>
      </c>
      <c r="C255" s="20" t="s">
        <v>523</v>
      </c>
      <c r="D255" s="22" t="s">
        <v>82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524</v>
      </c>
      <c r="C256" s="20" t="s">
        <v>525</v>
      </c>
      <c r="D256" s="22" t="s">
        <v>82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526</v>
      </c>
      <c r="C257" s="20" t="s">
        <v>527</v>
      </c>
      <c r="D257" s="22" t="s">
        <v>82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528</v>
      </c>
      <c r="C258" s="20" t="s">
        <v>529</v>
      </c>
      <c r="D258" s="22" t="s">
        <v>82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530</v>
      </c>
      <c r="C259" s="20" t="s">
        <v>531</v>
      </c>
      <c r="D259" s="22" t="s">
        <v>37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532</v>
      </c>
      <c r="C260" s="20" t="s">
        <v>533</v>
      </c>
      <c r="D260" s="22" t="s">
        <v>37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534</v>
      </c>
      <c r="C261" s="20" t="s">
        <v>535</v>
      </c>
      <c r="D261" s="22" t="s">
        <v>82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536</v>
      </c>
      <c r="C262" s="20" t="s">
        <v>537</v>
      </c>
      <c r="D262" s="22" t="s">
        <v>538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539</v>
      </c>
      <c r="C263" s="20" t="s">
        <v>540</v>
      </c>
      <c r="D263" s="22" t="s">
        <v>82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541</v>
      </c>
      <c r="C264" s="20" t="s">
        <v>542</v>
      </c>
      <c r="D264" s="22" t="s">
        <v>82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543</v>
      </c>
      <c r="C265" s="20" t="s">
        <v>544</v>
      </c>
      <c r="D265" s="22" t="s">
        <v>82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545</v>
      </c>
      <c r="C266" s="20" t="s">
        <v>546</v>
      </c>
      <c r="D266" s="22" t="s">
        <v>82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547</v>
      </c>
      <c r="C267" s="20" t="s">
        <v>548</v>
      </c>
      <c r="D267" s="22" t="s">
        <v>42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549</v>
      </c>
      <c r="C268" s="20" t="s">
        <v>550</v>
      </c>
      <c r="D268" s="22" t="s">
        <v>42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551</v>
      </c>
      <c r="C269" s="20" t="s">
        <v>552</v>
      </c>
      <c r="D269" s="22" t="s">
        <v>42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553</v>
      </c>
      <c r="C270" s="20" t="s">
        <v>554</v>
      </c>
      <c r="D270" s="22" t="s">
        <v>82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555</v>
      </c>
      <c r="C271" s="20" t="s">
        <v>556</v>
      </c>
      <c r="D271" s="22" t="s">
        <v>82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557</v>
      </c>
      <c r="C272" s="20" t="s">
        <v>558</v>
      </c>
      <c r="D272" s="22" t="s">
        <v>82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559</v>
      </c>
      <c r="C273" s="20" t="s">
        <v>560</v>
      </c>
      <c r="D273" s="22" t="s">
        <v>82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561</v>
      </c>
      <c r="C274" s="20" t="s">
        <v>562</v>
      </c>
      <c r="D274" s="22" t="s">
        <v>82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563</v>
      </c>
      <c r="C275" s="20" t="s">
        <v>564</v>
      </c>
      <c r="D275" s="22" t="s">
        <v>82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565</v>
      </c>
      <c r="C276" s="20" t="s">
        <v>566</v>
      </c>
      <c r="D276" s="22" t="s">
        <v>82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567</v>
      </c>
      <c r="C277" s="20" t="s">
        <v>568</v>
      </c>
      <c r="D277" s="22" t="s">
        <v>82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569</v>
      </c>
      <c r="C278" s="20" t="s">
        <v>570</v>
      </c>
      <c r="D278" s="22" t="s">
        <v>82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571</v>
      </c>
      <c r="C279" s="20" t="s">
        <v>572</v>
      </c>
      <c r="D279" s="22" t="s">
        <v>82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573</v>
      </c>
      <c r="C280" s="20" t="s">
        <v>574</v>
      </c>
      <c r="D280" s="22" t="s">
        <v>82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575</v>
      </c>
      <c r="C281" s="20" t="s">
        <v>576</v>
      </c>
      <c r="D281" s="22" t="s">
        <v>82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577</v>
      </c>
      <c r="C282" s="20" t="s">
        <v>578</v>
      </c>
      <c r="D282" s="22" t="s">
        <v>82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579</v>
      </c>
      <c r="C283" s="20" t="s">
        <v>580</v>
      </c>
      <c r="D283" s="22" t="s">
        <v>82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581</v>
      </c>
      <c r="C284" s="20" t="s">
        <v>582</v>
      </c>
      <c r="D284" s="22" t="s">
        <v>82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583</v>
      </c>
      <c r="C285" s="20" t="s">
        <v>584</v>
      </c>
      <c r="D285" s="22" t="s">
        <v>82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585</v>
      </c>
      <c r="C286" s="20" t="s">
        <v>586</v>
      </c>
      <c r="D286" s="22" t="s">
        <v>82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587</v>
      </c>
      <c r="C287" s="20" t="s">
        <v>588</v>
      </c>
      <c r="D287" s="22" t="s">
        <v>82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589</v>
      </c>
      <c r="C288" s="20" t="s">
        <v>590</v>
      </c>
      <c r="D288" s="22" t="s">
        <v>82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591</v>
      </c>
      <c r="C289" s="20" t="s">
        <v>592</v>
      </c>
      <c r="D289" s="22" t="s">
        <v>82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593</v>
      </c>
      <c r="C290" s="20" t="s">
        <v>594</v>
      </c>
      <c r="D290" s="22" t="s">
        <v>82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595</v>
      </c>
      <c r="C291" s="20" t="s">
        <v>596</v>
      </c>
      <c r="D291" s="22" t="s">
        <v>82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597</v>
      </c>
      <c r="C292" s="20" t="s">
        <v>598</v>
      </c>
      <c r="D292" s="22" t="s">
        <v>82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599</v>
      </c>
      <c r="C293" s="20" t="s">
        <v>600</v>
      </c>
      <c r="D293" s="22" t="s">
        <v>82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601</v>
      </c>
      <c r="C294" s="20" t="s">
        <v>602</v>
      </c>
      <c r="D294" s="22" t="s">
        <v>82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603</v>
      </c>
      <c r="C295" s="20" t="s">
        <v>604</v>
      </c>
      <c r="D295" s="22" t="s">
        <v>82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605</v>
      </c>
      <c r="C296" s="20" t="s">
        <v>606</v>
      </c>
      <c r="D296" s="22" t="s">
        <v>82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607</v>
      </c>
      <c r="C297" s="20" t="s">
        <v>608</v>
      </c>
      <c r="D297" s="22" t="s">
        <v>82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609</v>
      </c>
      <c r="C298" s="20" t="s">
        <v>610</v>
      </c>
      <c r="D298" s="22" t="s">
        <v>82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611</v>
      </c>
      <c r="C299" s="20" t="s">
        <v>612</v>
      </c>
      <c r="D299" s="22" t="s">
        <v>82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613</v>
      </c>
      <c r="C300" s="20" t="s">
        <v>614</v>
      </c>
      <c r="D300" s="22" t="s">
        <v>82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615</v>
      </c>
      <c r="C301" s="20" t="s">
        <v>616</v>
      </c>
      <c r="D301" s="22" t="s">
        <v>82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617</v>
      </c>
      <c r="C302" s="20" t="s">
        <v>618</v>
      </c>
      <c r="D302" s="22" t="s">
        <v>82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619</v>
      </c>
      <c r="C303" s="20" t="s">
        <v>620</v>
      </c>
      <c r="D303" s="22" t="s">
        <v>82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621</v>
      </c>
      <c r="C304" s="20" t="s">
        <v>622</v>
      </c>
      <c r="D304" s="22" t="s">
        <v>82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623</v>
      </c>
      <c r="C305" s="20" t="s">
        <v>624</v>
      </c>
      <c r="D305" s="22" t="s">
        <v>82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625</v>
      </c>
      <c r="C306" s="20" t="s">
        <v>626</v>
      </c>
      <c r="D306" s="22" t="s">
        <v>82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627</v>
      </c>
      <c r="C307" s="20" t="s">
        <v>628</v>
      </c>
      <c r="D307" s="22" t="s">
        <v>82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629</v>
      </c>
      <c r="C308" s="20" t="s">
        <v>630</v>
      </c>
      <c r="D308" s="22" t="s">
        <v>82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631</v>
      </c>
      <c r="C309" s="20" t="s">
        <v>632</v>
      </c>
      <c r="D309" s="22" t="s">
        <v>82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633</v>
      </c>
      <c r="C310" s="20" t="s">
        <v>634</v>
      </c>
      <c r="D310" s="22" t="s">
        <v>82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635</v>
      </c>
      <c r="C311" s="20" t="s">
        <v>636</v>
      </c>
      <c r="D311" s="22" t="s">
        <v>82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637</v>
      </c>
      <c r="C312" s="20" t="s">
        <v>638</v>
      </c>
      <c r="D312" s="22" t="s">
        <v>82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639</v>
      </c>
      <c r="C313" s="20" t="s">
        <v>640</v>
      </c>
      <c r="D313" s="22" t="s">
        <v>82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641</v>
      </c>
      <c r="C314" s="20" t="s">
        <v>642</v>
      </c>
      <c r="D314" s="22" t="s">
        <v>82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643</v>
      </c>
      <c r="C315" s="20" t="s">
        <v>644</v>
      </c>
      <c r="D315" s="22" t="s">
        <v>82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645</v>
      </c>
      <c r="C316" s="20" t="s">
        <v>646</v>
      </c>
      <c r="D316" s="22" t="s">
        <v>82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647</v>
      </c>
      <c r="C317" s="20" t="s">
        <v>648</v>
      </c>
      <c r="D317" s="22" t="s">
        <v>82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649</v>
      </c>
      <c r="C318" s="20" t="s">
        <v>650</v>
      </c>
      <c r="D318" s="22" t="s">
        <v>82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651</v>
      </c>
      <c r="C319" s="20" t="s">
        <v>652</v>
      </c>
      <c r="D319" s="22" t="s">
        <v>82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653</v>
      </c>
      <c r="C320" s="20" t="s">
        <v>654</v>
      </c>
      <c r="D320" s="22" t="s">
        <v>82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655</v>
      </c>
      <c r="C321" s="20" t="s">
        <v>656</v>
      </c>
      <c r="D321" s="22" t="s">
        <v>82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657</v>
      </c>
      <c r="C322" s="20" t="s">
        <v>658</v>
      </c>
      <c r="D322" s="22" t="s">
        <v>82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659</v>
      </c>
      <c r="C323" s="20" t="s">
        <v>660</v>
      </c>
      <c r="D323" s="22" t="s">
        <v>82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661</v>
      </c>
      <c r="C324" s="20" t="s">
        <v>662</v>
      </c>
      <c r="D324" s="22" t="s">
        <v>82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663</v>
      </c>
      <c r="C325" s="20" t="s">
        <v>664</v>
      </c>
      <c r="D325" s="22" t="s">
        <v>82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665</v>
      </c>
      <c r="C326" s="20" t="s">
        <v>666</v>
      </c>
      <c r="D326" s="22" t="s">
        <v>82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667</v>
      </c>
      <c r="C327" s="20" t="s">
        <v>668</v>
      </c>
      <c r="D327" s="22" t="s">
        <v>82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669</v>
      </c>
      <c r="C328" s="20" t="s">
        <v>670</v>
      </c>
      <c r="D328" s="22" t="s">
        <v>82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671</v>
      </c>
      <c r="C329" s="20" t="s">
        <v>672</v>
      </c>
      <c r="D329" s="22" t="s">
        <v>82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673</v>
      </c>
      <c r="C330" s="20" t="s">
        <v>674</v>
      </c>
      <c r="D330" s="22" t="s">
        <v>82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675</v>
      </c>
      <c r="C331" s="20" t="s">
        <v>676</v>
      </c>
      <c r="D331" s="22" t="s">
        <v>82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677</v>
      </c>
      <c r="C332" s="20" t="s">
        <v>678</v>
      </c>
      <c r="D332" s="22" t="s">
        <v>82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679</v>
      </c>
      <c r="C333" s="20" t="s">
        <v>680</v>
      </c>
      <c r="D333" s="22" t="s">
        <v>82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681</v>
      </c>
      <c r="C334" s="20" t="s">
        <v>682</v>
      </c>
      <c r="D334" s="22" t="s">
        <v>82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683</v>
      </c>
      <c r="C335" s="20" t="s">
        <v>684</v>
      </c>
      <c r="D335" s="22" t="s">
        <v>82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685</v>
      </c>
      <c r="C336" s="20" t="s">
        <v>686</v>
      </c>
      <c r="D336" s="22" t="s">
        <v>82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687</v>
      </c>
      <c r="C337" s="20" t="s">
        <v>688</v>
      </c>
      <c r="D337" s="22" t="s">
        <v>82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689</v>
      </c>
      <c r="C338" s="20" t="s">
        <v>690</v>
      </c>
      <c r="D338" s="22" t="s">
        <v>42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691</v>
      </c>
      <c r="C339" s="20" t="s">
        <v>692</v>
      </c>
      <c r="D339" s="22" t="s">
        <v>42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693</v>
      </c>
      <c r="C340" s="20" t="s">
        <v>694</v>
      </c>
      <c r="D340" s="22" t="s">
        <v>82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695</v>
      </c>
      <c r="C341" s="20" t="s">
        <v>696</v>
      </c>
      <c r="D341" s="22" t="s">
        <v>82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697</v>
      </c>
      <c r="C342" s="20" t="s">
        <v>698</v>
      </c>
      <c r="D342" s="22" t="s">
        <v>82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699</v>
      </c>
      <c r="C343" s="20" t="s">
        <v>700</v>
      </c>
      <c r="D343" s="22" t="s">
        <v>82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701</v>
      </c>
      <c r="C344" s="20" t="s">
        <v>702</v>
      </c>
      <c r="D344" s="22" t="s">
        <v>82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703</v>
      </c>
      <c r="C345" s="20" t="s">
        <v>704</v>
      </c>
      <c r="D345" s="22" t="s">
        <v>82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705</v>
      </c>
      <c r="C346" s="20" t="s">
        <v>706</v>
      </c>
      <c r="D346" s="22" t="s">
        <v>82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707</v>
      </c>
      <c r="C347" s="20" t="s">
        <v>708</v>
      </c>
      <c r="D347" s="22" t="s">
        <v>82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709</v>
      </c>
      <c r="C348" s="20" t="s">
        <v>710</v>
      </c>
      <c r="D348" s="22" t="s">
        <v>82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711</v>
      </c>
      <c r="C349" s="20" t="s">
        <v>712</v>
      </c>
      <c r="D349" s="22" t="s">
        <v>82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713</v>
      </c>
      <c r="C350" s="20" t="s">
        <v>714</v>
      </c>
      <c r="D350" s="22" t="s">
        <v>82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715</v>
      </c>
      <c r="C351" s="20" t="s">
        <v>716</v>
      </c>
      <c r="D351" s="22" t="s">
        <v>82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717</v>
      </c>
      <c r="C352" s="20" t="s">
        <v>718</v>
      </c>
      <c r="D352" s="22" t="s">
        <v>82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719</v>
      </c>
      <c r="C353" s="20" t="s">
        <v>720</v>
      </c>
      <c r="D353" s="22" t="s">
        <v>82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721</v>
      </c>
      <c r="C354" s="20" t="s">
        <v>722</v>
      </c>
      <c r="D354" s="22" t="s">
        <v>82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723</v>
      </c>
      <c r="C355" s="20" t="s">
        <v>724</v>
      </c>
      <c r="D355" s="22" t="s">
        <v>82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725</v>
      </c>
      <c r="C356" s="20" t="s">
        <v>726</v>
      </c>
      <c r="D356" s="22" t="s">
        <v>82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727</v>
      </c>
      <c r="C357" s="20" t="s">
        <v>728</v>
      </c>
      <c r="D357" s="22" t="s">
        <v>82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729</v>
      </c>
      <c r="C358" s="20" t="s">
        <v>730</v>
      </c>
      <c r="D358" s="22" t="s">
        <v>82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731</v>
      </c>
      <c r="C359" s="20" t="s">
        <v>732</v>
      </c>
      <c r="D359" s="22" t="s">
        <v>82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733</v>
      </c>
      <c r="C360" s="20" t="s">
        <v>734</v>
      </c>
      <c r="D360" s="22" t="s">
        <v>82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735</v>
      </c>
      <c r="C361" s="20" t="s">
        <v>736</v>
      </c>
      <c r="D361" s="22" t="s">
        <v>82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737</v>
      </c>
      <c r="C362" s="20" t="s">
        <v>738</v>
      </c>
      <c r="D362" s="22" t="s">
        <v>82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739</v>
      </c>
      <c r="C363" s="20" t="s">
        <v>740</v>
      </c>
      <c r="D363" s="22" t="s">
        <v>82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741</v>
      </c>
      <c r="C364" s="20" t="s">
        <v>742</v>
      </c>
      <c r="D364" s="22" t="s">
        <v>82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743</v>
      </c>
      <c r="C365" s="20" t="s">
        <v>744</v>
      </c>
      <c r="D365" s="22" t="s">
        <v>82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745</v>
      </c>
      <c r="C366" s="20" t="s">
        <v>746</v>
      </c>
      <c r="D366" s="22" t="s">
        <v>82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747</v>
      </c>
      <c r="C367" s="20" t="s">
        <v>748</v>
      </c>
      <c r="D367" s="22" t="s">
        <v>82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749</v>
      </c>
      <c r="C368" s="20" t="s">
        <v>750</v>
      </c>
      <c r="D368" s="22" t="s">
        <v>82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751</v>
      </c>
      <c r="C369" s="20" t="s">
        <v>752</v>
      </c>
      <c r="D369" s="22" t="s">
        <v>82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753</v>
      </c>
      <c r="C370" s="20" t="s">
        <v>754</v>
      </c>
      <c r="D370" s="22" t="s">
        <v>82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755</v>
      </c>
      <c r="C371" s="20" t="s">
        <v>756</v>
      </c>
      <c r="D371" s="22" t="s">
        <v>82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757</v>
      </c>
      <c r="C372" s="20" t="s">
        <v>758</v>
      </c>
      <c r="D372" s="22" t="s">
        <v>82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759</v>
      </c>
      <c r="C373" s="20" t="s">
        <v>760</v>
      </c>
      <c r="D373" s="22" t="s">
        <v>82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761</v>
      </c>
      <c r="C374" s="20" t="s">
        <v>762</v>
      </c>
      <c r="D374" s="22" t="s">
        <v>82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763</v>
      </c>
      <c r="C375" s="20" t="s">
        <v>764</v>
      </c>
      <c r="D375" s="22" t="s">
        <v>82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765</v>
      </c>
      <c r="C376" s="20" t="s">
        <v>766</v>
      </c>
      <c r="D376" s="22" t="s">
        <v>82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767</v>
      </c>
      <c r="C377" s="20" t="s">
        <v>768</v>
      </c>
      <c r="D377" s="22" t="s">
        <v>82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769</v>
      </c>
      <c r="C378" s="20" t="s">
        <v>770</v>
      </c>
      <c r="D378" s="22" t="s">
        <v>82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771</v>
      </c>
      <c r="C379" s="20" t="s">
        <v>772</v>
      </c>
      <c r="D379" s="22" t="s">
        <v>82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773</v>
      </c>
      <c r="C380" s="20" t="s">
        <v>774</v>
      </c>
      <c r="D380" s="22" t="s">
        <v>82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775</v>
      </c>
      <c r="C381" s="20" t="s">
        <v>776</v>
      </c>
      <c r="D381" s="22" t="s">
        <v>82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777</v>
      </c>
      <c r="C382" s="20" t="s">
        <v>778</v>
      </c>
      <c r="D382" s="22" t="s">
        <v>82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779</v>
      </c>
      <c r="C383" s="20" t="s">
        <v>780</v>
      </c>
      <c r="D383" s="22" t="s">
        <v>82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781</v>
      </c>
      <c r="C384" s="20" t="s">
        <v>782</v>
      </c>
      <c r="D384" s="22" t="s">
        <v>82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783</v>
      </c>
      <c r="C385" s="20" t="s">
        <v>784</v>
      </c>
      <c r="D385" s="22" t="s">
        <v>82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785</v>
      </c>
      <c r="C386" s="20" t="s">
        <v>786</v>
      </c>
      <c r="D386" s="22" t="s">
        <v>82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787</v>
      </c>
      <c r="C387" s="20" t="s">
        <v>788</v>
      </c>
      <c r="D387" s="22" t="s">
        <v>82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789</v>
      </c>
      <c r="C388" s="20" t="s">
        <v>790</v>
      </c>
      <c r="D388" s="22" t="s">
        <v>82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791</v>
      </c>
      <c r="C389" s="20" t="s">
        <v>792</v>
      </c>
      <c r="D389" s="22" t="s">
        <v>82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793</v>
      </c>
      <c r="C390" s="20" t="s">
        <v>794</v>
      </c>
      <c r="D390" s="22" t="s">
        <v>82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795</v>
      </c>
      <c r="C391" s="20" t="s">
        <v>796</v>
      </c>
      <c r="D391" s="22" t="s">
        <v>82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797</v>
      </c>
      <c r="C392" s="20" t="s">
        <v>798</v>
      </c>
      <c r="D392" s="22" t="s">
        <v>82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799</v>
      </c>
      <c r="C393" s="20" t="s">
        <v>800</v>
      </c>
      <c r="D393" s="22" t="s">
        <v>82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801</v>
      </c>
      <c r="C394" s="20" t="s">
        <v>802</v>
      </c>
      <c r="D394" s="22" t="s">
        <v>82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803</v>
      </c>
      <c r="C395" s="20" t="s">
        <v>804</v>
      </c>
      <c r="D395" s="22" t="s">
        <v>82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805</v>
      </c>
      <c r="C396" s="20" t="s">
        <v>806</v>
      </c>
      <c r="D396" s="22" t="s">
        <v>82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807</v>
      </c>
      <c r="C397" s="20" t="s">
        <v>808</v>
      </c>
      <c r="D397" s="22" t="s">
        <v>82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809</v>
      </c>
      <c r="C398" s="20" t="s">
        <v>810</v>
      </c>
      <c r="D398" s="22" t="s">
        <v>82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811</v>
      </c>
      <c r="C399" s="20" t="s">
        <v>812</v>
      </c>
      <c r="D399" s="22" t="s">
        <v>82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813</v>
      </c>
      <c r="C400" s="20" t="s">
        <v>814</v>
      </c>
      <c r="D400" s="22" t="s">
        <v>82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815</v>
      </c>
      <c r="C401" s="20" t="s">
        <v>816</v>
      </c>
      <c r="D401" s="22" t="s">
        <v>82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817</v>
      </c>
      <c r="C402" s="20" t="s">
        <v>818</v>
      </c>
      <c r="D402" s="22" t="s">
        <v>82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819</v>
      </c>
      <c r="C403" s="20" t="s">
        <v>820</v>
      </c>
      <c r="D403" s="22" t="s">
        <v>82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821</v>
      </c>
      <c r="C404" s="20" t="s">
        <v>822</v>
      </c>
      <c r="D404" s="22" t="s">
        <v>82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823</v>
      </c>
      <c r="C405" s="20" t="s">
        <v>824</v>
      </c>
      <c r="D405" s="22" t="s">
        <v>82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825</v>
      </c>
      <c r="C406" s="20" t="s">
        <v>826</v>
      </c>
      <c r="D406" s="22" t="s">
        <v>82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827</v>
      </c>
      <c r="C407" s="20" t="s">
        <v>828</v>
      </c>
      <c r="D407" s="22" t="s">
        <v>82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829</v>
      </c>
      <c r="C408" s="20" t="s">
        <v>830</v>
      </c>
      <c r="D408" s="22" t="s">
        <v>82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831</v>
      </c>
      <c r="C409" s="20" t="s">
        <v>832</v>
      </c>
      <c r="D409" s="22" t="s">
        <v>42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833</v>
      </c>
      <c r="C410" s="20" t="s">
        <v>834</v>
      </c>
      <c r="D410" s="22" t="s">
        <v>42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835</v>
      </c>
      <c r="C411" s="20" t="s">
        <v>836</v>
      </c>
      <c r="D411" s="22" t="s">
        <v>42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837</v>
      </c>
      <c r="C412" s="20" t="s">
        <v>838</v>
      </c>
      <c r="D412" s="22" t="s">
        <v>42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839</v>
      </c>
      <c r="C413" s="20" t="s">
        <v>840</v>
      </c>
      <c r="D413" s="22" t="s">
        <v>42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841</v>
      </c>
      <c r="C414" s="20" t="s">
        <v>842</v>
      </c>
      <c r="D414" s="22" t="s">
        <v>42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843</v>
      </c>
      <c r="C415" s="20" t="s">
        <v>844</v>
      </c>
      <c r="D415" s="22" t="s">
        <v>42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845</v>
      </c>
      <c r="C416" s="20" t="s">
        <v>846</v>
      </c>
      <c r="D416" s="22" t="s">
        <v>42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847</v>
      </c>
      <c r="C417" s="20" t="s">
        <v>848</v>
      </c>
      <c r="D417" s="22" t="s">
        <v>82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849</v>
      </c>
      <c r="C418" s="20" t="s">
        <v>850</v>
      </c>
      <c r="D418" s="22" t="s">
        <v>37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851</v>
      </c>
      <c r="C419" s="20" t="s">
        <v>852</v>
      </c>
      <c r="D419" s="22" t="s">
        <v>37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853</v>
      </c>
      <c r="C420" s="20" t="s">
        <v>854</v>
      </c>
      <c r="D420" s="22" t="s">
        <v>42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855</v>
      </c>
      <c r="C421" s="20" t="s">
        <v>856</v>
      </c>
      <c r="D421" s="22" t="s">
        <v>42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857</v>
      </c>
      <c r="C422" s="20" t="s">
        <v>858</v>
      </c>
      <c r="D422" s="22" t="s">
        <v>42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859</v>
      </c>
      <c r="C423" s="20" t="s">
        <v>860</v>
      </c>
      <c r="D423" s="22" t="s">
        <v>42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861</v>
      </c>
      <c r="C424" s="20" t="s">
        <v>862</v>
      </c>
      <c r="D424" s="22" t="s">
        <v>82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863</v>
      </c>
      <c r="C425" s="20" t="s">
        <v>864</v>
      </c>
      <c r="D425" s="22" t="s">
        <v>19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865</v>
      </c>
      <c r="C426" s="20" t="s">
        <v>866</v>
      </c>
      <c r="D426" s="22" t="s">
        <v>82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867</v>
      </c>
      <c r="C427" s="20" t="s">
        <v>868</v>
      </c>
      <c r="D427" s="22" t="s">
        <v>82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869</v>
      </c>
      <c r="C428" s="20" t="s">
        <v>870</v>
      </c>
      <c r="D428" s="22" t="s">
        <v>82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871</v>
      </c>
      <c r="C429" s="20" t="s">
        <v>872</v>
      </c>
      <c r="D429" s="22" t="s">
        <v>82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873</v>
      </c>
      <c r="C430" s="20" t="s">
        <v>874</v>
      </c>
      <c r="D430" s="22" t="s">
        <v>82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875</v>
      </c>
      <c r="C431" s="20" t="s">
        <v>876</v>
      </c>
      <c r="D431" s="22" t="s">
        <v>82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877</v>
      </c>
      <c r="C432" s="20" t="s">
        <v>878</v>
      </c>
      <c r="D432" s="22" t="s">
        <v>82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879</v>
      </c>
      <c r="C433" s="20" t="s">
        <v>880</v>
      </c>
      <c r="D433" s="22" t="s">
        <v>82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881</v>
      </c>
      <c r="C434" s="20" t="s">
        <v>882</v>
      </c>
      <c r="D434" s="22" t="s">
        <v>82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883</v>
      </c>
      <c r="C435" s="20" t="s">
        <v>884</v>
      </c>
      <c r="D435" s="22" t="s">
        <v>82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885</v>
      </c>
      <c r="C436" s="20" t="s">
        <v>886</v>
      </c>
      <c r="D436" s="22" t="s">
        <v>82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887</v>
      </c>
      <c r="C437" s="20" t="s">
        <v>888</v>
      </c>
      <c r="D437" s="22" t="s">
        <v>82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889</v>
      </c>
      <c r="C438" s="20" t="s">
        <v>890</v>
      </c>
      <c r="D438" s="22" t="s">
        <v>82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891</v>
      </c>
      <c r="C439" s="20" t="s">
        <v>892</v>
      </c>
      <c r="D439" s="22" t="s">
        <v>82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893</v>
      </c>
      <c r="C440" s="20" t="s">
        <v>894</v>
      </c>
      <c r="D440" s="22" t="s">
        <v>82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895</v>
      </c>
      <c r="C441" s="20" t="s">
        <v>896</v>
      </c>
      <c r="D441" s="22" t="s">
        <v>82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897</v>
      </c>
      <c r="C442" s="20" t="s">
        <v>898</v>
      </c>
      <c r="D442" s="22" t="s">
        <v>82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899</v>
      </c>
      <c r="C443" s="20" t="s">
        <v>900</v>
      </c>
      <c r="D443" s="22" t="s">
        <v>82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901</v>
      </c>
      <c r="C444" s="20" t="s">
        <v>902</v>
      </c>
      <c r="D444" s="22" t="s">
        <v>82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903</v>
      </c>
      <c r="C445" s="20" t="s">
        <v>904</v>
      </c>
      <c r="D445" s="22" t="s">
        <v>82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905</v>
      </c>
      <c r="C446" s="20" t="s">
        <v>906</v>
      </c>
      <c r="D446" s="22" t="s">
        <v>82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907</v>
      </c>
      <c r="C447" s="20" t="s">
        <v>908</v>
      </c>
      <c r="D447" s="22" t="s">
        <v>82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909</v>
      </c>
      <c r="C448" s="20" t="s">
        <v>910</v>
      </c>
      <c r="D448" s="22" t="s">
        <v>82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911</v>
      </c>
      <c r="C449" s="20" t="s">
        <v>912</v>
      </c>
      <c r="D449" s="22" t="s">
        <v>82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913</v>
      </c>
      <c r="C450" s="20" t="s">
        <v>914</v>
      </c>
      <c r="D450" s="22" t="s">
        <v>82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915</v>
      </c>
      <c r="C451" s="20" t="s">
        <v>916</v>
      </c>
      <c r="D451" s="22" t="s">
        <v>82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917</v>
      </c>
      <c r="C452" s="20" t="s">
        <v>918</v>
      </c>
      <c r="D452" s="22" t="s">
        <v>82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919</v>
      </c>
      <c r="C453" s="20" t="s">
        <v>920</v>
      </c>
      <c r="D453" s="22" t="s">
        <v>82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921</v>
      </c>
      <c r="C454" s="20" t="s">
        <v>922</v>
      </c>
      <c r="D454" s="22" t="s">
        <v>82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923</v>
      </c>
      <c r="C455" s="20" t="s">
        <v>924</v>
      </c>
      <c r="D455" s="22" t="s">
        <v>82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925</v>
      </c>
      <c r="C456" s="20" t="s">
        <v>926</v>
      </c>
      <c r="D456" s="22" t="s">
        <v>82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927</v>
      </c>
      <c r="C457" s="20" t="s">
        <v>928</v>
      </c>
      <c r="D457" s="22" t="s">
        <v>37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929</v>
      </c>
      <c r="C458" s="20" t="s">
        <v>930</v>
      </c>
      <c r="D458" s="22" t="s">
        <v>37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931</v>
      </c>
      <c r="C459" s="20" t="s">
        <v>932</v>
      </c>
      <c r="D459" s="22" t="s">
        <v>37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933</v>
      </c>
      <c r="C460" s="20" t="s">
        <v>934</v>
      </c>
      <c r="D460" s="22" t="s">
        <v>37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935</v>
      </c>
      <c r="C461" s="20" t="s">
        <v>936</v>
      </c>
      <c r="D461" s="22" t="s">
        <v>37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937</v>
      </c>
      <c r="C462" s="20" t="s">
        <v>938</v>
      </c>
      <c r="D462" s="22" t="s">
        <v>37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939</v>
      </c>
      <c r="C463" s="20" t="s">
        <v>940</v>
      </c>
      <c r="D463" s="22" t="s">
        <v>37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941</v>
      </c>
      <c r="C464" s="20" t="s">
        <v>942</v>
      </c>
      <c r="D464" s="22" t="s">
        <v>37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943</v>
      </c>
      <c r="C465" s="20" t="s">
        <v>944</v>
      </c>
      <c r="D465" s="22" t="s">
        <v>37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945</v>
      </c>
      <c r="C466" s="20" t="s">
        <v>946</v>
      </c>
      <c r="D466" s="22" t="s">
        <v>37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947</v>
      </c>
      <c r="C467" s="20" t="s">
        <v>948</v>
      </c>
      <c r="D467" s="22" t="s">
        <v>82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949</v>
      </c>
      <c r="C468" s="20" t="s">
        <v>950</v>
      </c>
      <c r="D468" s="22" t="s">
        <v>82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951</v>
      </c>
      <c r="C469" s="20" t="s">
        <v>952</v>
      </c>
      <c r="D469" s="22" t="s">
        <v>82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953</v>
      </c>
      <c r="C470" s="20" t="s">
        <v>954</v>
      </c>
      <c r="D470" s="22" t="s">
        <v>82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955</v>
      </c>
      <c r="C471" s="20" t="s">
        <v>956</v>
      </c>
      <c r="D471" s="22" t="s">
        <v>82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957</v>
      </c>
      <c r="C472" s="20" t="s">
        <v>958</v>
      </c>
      <c r="D472" s="22" t="s">
        <v>82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959</v>
      </c>
      <c r="C473" s="20" t="s">
        <v>960</v>
      </c>
      <c r="D473" s="22" t="s">
        <v>82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961</v>
      </c>
      <c r="C474" s="20" t="s">
        <v>962</v>
      </c>
      <c r="D474" s="22" t="s">
        <v>82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963</v>
      </c>
      <c r="C475" s="20" t="s">
        <v>964</v>
      </c>
      <c r="D475" s="22" t="s">
        <v>82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965</v>
      </c>
      <c r="C476" s="20" t="s">
        <v>966</v>
      </c>
      <c r="D476" s="22" t="s">
        <v>82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967</v>
      </c>
      <c r="C477" s="20" t="s">
        <v>968</v>
      </c>
      <c r="D477" s="22" t="s">
        <v>82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969</v>
      </c>
      <c r="C478" s="20" t="s">
        <v>970</v>
      </c>
      <c r="D478" s="22" t="s">
        <v>82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971</v>
      </c>
      <c r="C479" s="20" t="s">
        <v>972</v>
      </c>
      <c r="D479" s="22" t="s">
        <v>82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973</v>
      </c>
      <c r="C480" s="20" t="s">
        <v>974</v>
      </c>
      <c r="D480" s="22" t="s">
        <v>82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975</v>
      </c>
      <c r="C481" s="20" t="s">
        <v>976</v>
      </c>
      <c r="D481" s="22" t="s">
        <v>82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977</v>
      </c>
      <c r="C482" s="20" t="s">
        <v>978</v>
      </c>
      <c r="D482" s="22" t="s">
        <v>42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979</v>
      </c>
      <c r="C483" s="20" t="s">
        <v>980</v>
      </c>
      <c r="D483" s="22" t="s">
        <v>42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82">
        <f>+SUMPRODUCT(F50:F79,H50:H79)</f>
        <v>57536707.721000001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2026-04-23T13:22:42Z</cp:lastPrinted>
  <dcterms:created xsi:type="dcterms:W3CDTF">2015-06-05T18:19:34Z</dcterms:created>
  <dcterms:modified xsi:type="dcterms:W3CDTF">2026-05-12T05:36:32Z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2025-11-26T13:12:43Z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de5585fe-1685-40c3-bbec-bc583b80e788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