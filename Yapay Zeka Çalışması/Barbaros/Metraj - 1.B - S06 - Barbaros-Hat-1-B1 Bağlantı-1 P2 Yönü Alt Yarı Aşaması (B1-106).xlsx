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480B50DB-F69B-412B-8F31-5B9935745ACD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İcmal!$B$1:$M$60</definedName>
    <definedName name="_xlnm.Print_Area" localSheetId="2">Metraj!$A$2:$Q$107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D2" i="6"/>
  <c r="AC2" i="6"/>
  <c r="C16" i="2"/>
  <c r="C15" i="2"/>
  <c r="P58" i="6"/>
  <c r="M45" i="6"/>
  <c r="P45" i="6" s="1"/>
  <c r="AA100" i="6"/>
  <c r="AA86" i="6"/>
  <c r="AA68" i="6"/>
  <c r="AA55" i="6"/>
  <c r="AA31" i="6"/>
  <c r="AA17" i="6"/>
  <c r="M42" i="6"/>
  <c r="M103" i="6"/>
  <c r="R42" i="6"/>
  <c r="P42" i="6"/>
  <c r="R35" i="6"/>
  <c r="R36" i="6"/>
  <c r="R37" i="6"/>
  <c r="R38" i="6"/>
  <c r="R39" i="6"/>
  <c r="R40" i="6"/>
  <c r="R41" i="6"/>
  <c r="R34" i="6"/>
  <c r="P35" i="6"/>
  <c r="P36" i="6"/>
  <c r="P37" i="6"/>
  <c r="P38" i="6"/>
  <c r="P39" i="6"/>
  <c r="P40" i="6"/>
  <c r="P41" i="6"/>
  <c r="P21" i="6"/>
  <c r="P22" i="6"/>
  <c r="P23" i="6"/>
  <c r="P24" i="6"/>
  <c r="P25" i="6"/>
  <c r="P26" i="6"/>
  <c r="P27" i="6"/>
  <c r="R23" i="6"/>
  <c r="P88" i="6"/>
  <c r="R21" i="6"/>
  <c r="R22" i="6"/>
  <c r="R24" i="6"/>
  <c r="R25" i="6"/>
  <c r="R26" i="6"/>
  <c r="R27" i="6"/>
  <c r="R20" i="6"/>
  <c r="M49" i="6"/>
  <c r="D49" i="6"/>
  <c r="AC100" i="6" l="1"/>
  <c r="AC86" i="6"/>
  <c r="AC68" i="6"/>
  <c r="AC55" i="6"/>
  <c r="AC31" i="6"/>
  <c r="AC17" i="6"/>
  <c r="P57" i="6"/>
  <c r="P55" i="6" s="1"/>
  <c r="O55" i="6" s="1"/>
  <c r="AD55" i="6" s="1"/>
  <c r="M55" i="6"/>
  <c r="D55" i="6"/>
  <c r="M21" i="2"/>
  <c r="M22" i="2"/>
  <c r="M24" i="2"/>
  <c r="M25" i="2"/>
  <c r="M26" i="2"/>
  <c r="M27" i="2"/>
  <c r="M28" i="2"/>
  <c r="M32" i="2"/>
  <c r="M35" i="2"/>
  <c r="M36" i="2"/>
  <c r="M37" i="2"/>
  <c r="M38" i="2"/>
  <c r="M39" i="2"/>
  <c r="M40" i="2"/>
  <c r="M41" i="2"/>
  <c r="M42" i="2"/>
  <c r="M43" i="2"/>
  <c r="M44" i="2"/>
  <c r="M48" i="2"/>
  <c r="M49" i="2"/>
  <c r="P76" i="6"/>
  <c r="P75" i="6"/>
  <c r="P74" i="6"/>
  <c r="P73" i="6"/>
  <c r="P72" i="6"/>
  <c r="P71" i="6"/>
  <c r="O103" i="6"/>
  <c r="AE55" i="6" l="1"/>
  <c r="AA22" i="2"/>
  <c r="AA44" i="2" l="1"/>
  <c r="AB44" i="2" s="1"/>
  <c r="AB22" i="2"/>
  <c r="AA40" i="2"/>
  <c r="AA48" i="2"/>
  <c r="AA32" i="2"/>
  <c r="AA41" i="2"/>
  <c r="AA36" i="2" l="1"/>
  <c r="AB36" i="2" s="1"/>
  <c r="AC44" i="2"/>
  <c r="AD44" i="2" s="1"/>
  <c r="AE44" i="2" s="1"/>
  <c r="AA26" i="2"/>
  <c r="AB26" i="2" s="1"/>
  <c r="AA24" i="2"/>
  <c r="AA49" i="2"/>
  <c r="AA43" i="2"/>
  <c r="AB43" i="2" s="1"/>
  <c r="AA25" i="2"/>
  <c r="AB25" i="2" s="1"/>
  <c r="AA35" i="2"/>
  <c r="AB40" i="2"/>
  <c r="AB48" i="2"/>
  <c r="AC22" i="2"/>
  <c r="AA39" i="2"/>
  <c r="AB39" i="2" s="1"/>
  <c r="AB32" i="2"/>
  <c r="AC32" i="2" s="1"/>
  <c r="AA28" i="2"/>
  <c r="AB41" i="2"/>
  <c r="AA37" i="2"/>
  <c r="P103" i="6"/>
  <c r="P34" i="6"/>
  <c r="P31" i="6" s="1"/>
  <c r="AE31" i="6" s="1"/>
  <c r="P20" i="6"/>
  <c r="M100" i="6"/>
  <c r="D100" i="6"/>
  <c r="M86" i="6"/>
  <c r="D86" i="6"/>
  <c r="O80" i="6"/>
  <c r="N80" i="6"/>
  <c r="M80" i="6"/>
  <c r="D80" i="6"/>
  <c r="M68" i="6"/>
  <c r="D68" i="6"/>
  <c r="N62" i="6"/>
  <c r="M62" i="6"/>
  <c r="D62" i="6"/>
  <c r="O49" i="6"/>
  <c r="N49" i="6"/>
  <c r="M31" i="6"/>
  <c r="D31" i="6"/>
  <c r="M17" i="6"/>
  <c r="D17" i="6"/>
  <c r="AC41" i="2" l="1"/>
  <c r="AF44" i="2"/>
  <c r="AG44" i="2" s="1"/>
  <c r="AC36" i="2"/>
  <c r="AD36" i="2" s="1"/>
  <c r="AE36" i="2" s="1"/>
  <c r="AF36" i="2" s="1"/>
  <c r="AG36" i="2" s="1"/>
  <c r="AH36" i="2" s="1"/>
  <c r="AB24" i="2"/>
  <c r="AC43" i="2"/>
  <c r="AD43" i="2" s="1"/>
  <c r="AC25" i="2"/>
  <c r="AB49" i="2"/>
  <c r="AC49" i="2" s="1"/>
  <c r="AD49" i="2" s="1"/>
  <c r="AC39" i="2"/>
  <c r="AD39" i="2" s="1"/>
  <c r="AE39" i="2" s="1"/>
  <c r="AB35" i="2"/>
  <c r="AD32" i="2"/>
  <c r="AC40" i="2"/>
  <c r="AD22" i="2"/>
  <c r="AA21" i="2"/>
  <c r="AB21" i="2" s="1"/>
  <c r="AC21" i="2" s="1"/>
  <c r="AD21" i="2" s="1"/>
  <c r="AE21" i="2" s="1"/>
  <c r="AA38" i="2"/>
  <c r="AA27" i="2"/>
  <c r="AB27" i="2" s="1"/>
  <c r="AB37" i="2"/>
  <c r="AC48" i="2"/>
  <c r="AD48" i="2" s="1"/>
  <c r="AC26" i="2"/>
  <c r="AB28" i="2"/>
  <c r="P106" i="6"/>
  <c r="AD41" i="2" l="1"/>
  <c r="AH44" i="2"/>
  <c r="AI44" i="2" s="1"/>
  <c r="AD25" i="2"/>
  <c r="AE25" i="2" s="1"/>
  <c r="AF25" i="2" s="1"/>
  <c r="AC24" i="2"/>
  <c r="AE49" i="2"/>
  <c r="AF49" i="2" s="1"/>
  <c r="AG49" i="2" s="1"/>
  <c r="AH49" i="2" s="1"/>
  <c r="AI49" i="2" s="1"/>
  <c r="AE32" i="2"/>
  <c r="AF32" i="2" s="1"/>
  <c r="AC35" i="2"/>
  <c r="AD26" i="2"/>
  <c r="AE26" i="2" s="1"/>
  <c r="AA42" i="2"/>
  <c r="AF21" i="2"/>
  <c r="AG21" i="2" s="1"/>
  <c r="AH21" i="2" s="1"/>
  <c r="AE43" i="2"/>
  <c r="AE22" i="2"/>
  <c r="AF22" i="2" s="1"/>
  <c r="AG22" i="2" s="1"/>
  <c r="AD40" i="2"/>
  <c r="AC37" i="2"/>
  <c r="AD37" i="2" s="1"/>
  <c r="AI36" i="2"/>
  <c r="AB38" i="2"/>
  <c r="AC38" i="2" s="1"/>
  <c r="AC27" i="2"/>
  <c r="AE48" i="2"/>
  <c r="AF48" i="2" s="1"/>
  <c r="AF39" i="2"/>
  <c r="AG39" i="2" s="1"/>
  <c r="AC28" i="2"/>
  <c r="AD28" i="2" s="1"/>
  <c r="O93" i="6"/>
  <c r="D93" i="6"/>
  <c r="AE41" i="2" l="1"/>
  <c r="AG25" i="2"/>
  <c r="AH25" i="2" s="1"/>
  <c r="AI25" i="2" s="1"/>
  <c r="AG48" i="2"/>
  <c r="AH48" i="2" s="1"/>
  <c r="AI48" i="2" s="1"/>
  <c r="AD24" i="2"/>
  <c r="AE24" i="2" s="1"/>
  <c r="AF24" i="2" s="1"/>
  <c r="AD27" i="2"/>
  <c r="AE27" i="2" s="1"/>
  <c r="AE37" i="2"/>
  <c r="AF37" i="2" s="1"/>
  <c r="AG37" i="2" s="1"/>
  <c r="AF26" i="2"/>
  <c r="AG26" i="2" s="1"/>
  <c r="AH26" i="2" s="1"/>
  <c r="AI26" i="2" s="1"/>
  <c r="AG32" i="2"/>
  <c r="AH32" i="2" s="1"/>
  <c r="AI32" i="2" s="1"/>
  <c r="AE40" i="2"/>
  <c r="AF40" i="2" s="1"/>
  <c r="AG40" i="2" s="1"/>
  <c r="AH40" i="2" s="1"/>
  <c r="AI40" i="2" s="1"/>
  <c r="AH39" i="2"/>
  <c r="AI39" i="2" s="1"/>
  <c r="AH22" i="2"/>
  <c r="AI22" i="2" s="1"/>
  <c r="AF43" i="2"/>
  <c r="AG43" i="2" s="1"/>
  <c r="AH43" i="2" s="1"/>
  <c r="AI43" i="2" s="1"/>
  <c r="AI21" i="2"/>
  <c r="AD38" i="2"/>
  <c r="AE38" i="2" s="1"/>
  <c r="AF38" i="2" s="1"/>
  <c r="AG38" i="2" s="1"/>
  <c r="AH38" i="2" s="1"/>
  <c r="AI38" i="2" s="1"/>
  <c r="AE28" i="2"/>
  <c r="AF28" i="2" s="1"/>
  <c r="AG28" i="2" s="1"/>
  <c r="AH28" i="2" s="1"/>
  <c r="AI28" i="2" s="1"/>
  <c r="AB42" i="2"/>
  <c r="AD35" i="2"/>
  <c r="AE35" i="2" s="1"/>
  <c r="H51" i="5"/>
  <c r="H55" i="5"/>
  <c r="L25" i="2"/>
  <c r="H65" i="5"/>
  <c r="L35" i="2"/>
  <c r="H69" i="5"/>
  <c r="L39" i="2"/>
  <c r="H71" i="5"/>
  <c r="L41" i="2"/>
  <c r="H73" i="5"/>
  <c r="L43" i="2"/>
  <c r="H78" i="5"/>
  <c r="L48" i="2"/>
  <c r="H54" i="5"/>
  <c r="L24" i="2"/>
  <c r="H58" i="5"/>
  <c r="L28" i="2"/>
  <c r="H66" i="5"/>
  <c r="L36" i="2"/>
  <c r="H68" i="5"/>
  <c r="L38" i="2"/>
  <c r="H70" i="5"/>
  <c r="L40" i="2"/>
  <c r="H72" i="5"/>
  <c r="L42" i="2"/>
  <c r="H79" i="5"/>
  <c r="L49" i="2"/>
  <c r="H52" i="5"/>
  <c r="L22" i="2"/>
  <c r="H56" i="5"/>
  <c r="L26" i="2"/>
  <c r="H62" i="5"/>
  <c r="L32" i="2"/>
  <c r="H67" i="5"/>
  <c r="L37" i="2"/>
  <c r="H74" i="5"/>
  <c r="L44" i="2"/>
  <c r="P96" i="6"/>
  <c r="P51" i="6"/>
  <c r="P49" i="6" s="1"/>
  <c r="M30" i="2" l="1"/>
  <c r="AA30" i="2" s="1"/>
  <c r="M29" i="2"/>
  <c r="AF41" i="2"/>
  <c r="AG41" i="2" s="1"/>
  <c r="AF35" i="2"/>
  <c r="AG35" i="2" s="1"/>
  <c r="AH35" i="2" s="1"/>
  <c r="AI35" i="2" s="1"/>
  <c r="AF27" i="2"/>
  <c r="AG27" i="2" s="1"/>
  <c r="AH37" i="2"/>
  <c r="AI37" i="2" s="1"/>
  <c r="AG24" i="2"/>
  <c r="AC42" i="2"/>
  <c r="AD42" i="2" s="1"/>
  <c r="AE42" i="2" s="1"/>
  <c r="AF42" i="2" s="1"/>
  <c r="AG42" i="2" s="1"/>
  <c r="AH42" i="2" s="1"/>
  <c r="AI42" i="2" s="1"/>
  <c r="H57" i="5"/>
  <c r="L27" i="2"/>
  <c r="H60" i="5" l="1"/>
  <c r="L30" i="2"/>
  <c r="H59" i="5"/>
  <c r="L29" i="2"/>
  <c r="AB30" i="2"/>
  <c r="AC30" i="2" s="1"/>
  <c r="AD30" i="2" s="1"/>
  <c r="AH41" i="2"/>
  <c r="AI41" i="2" s="1"/>
  <c r="AH27" i="2"/>
  <c r="AI27" i="2" s="1"/>
  <c r="AH24" i="2"/>
  <c r="AI24" i="2" s="1"/>
  <c r="P89" i="6"/>
  <c r="AA29" i="2" l="1"/>
  <c r="AE30" i="2"/>
  <c r="AF30" i="2" s="1"/>
  <c r="AG30" i="2" s="1"/>
  <c r="AH30" i="2" s="1"/>
  <c r="AI30" i="2" s="1"/>
  <c r="P86" i="6"/>
  <c r="AE86" i="6" s="1"/>
  <c r="P93" i="6"/>
  <c r="M46" i="2" s="1"/>
  <c r="AB29" i="2" l="1"/>
  <c r="AC29" i="2" s="1"/>
  <c r="AA46" i="2"/>
  <c r="AB46" i="2" s="1"/>
  <c r="O86" i="6"/>
  <c r="AD86" i="6" s="1"/>
  <c r="M45" i="2"/>
  <c r="L45" i="2" s="1"/>
  <c r="H76" i="5"/>
  <c r="L46" i="2"/>
  <c r="AD29" i="2" l="1"/>
  <c r="AE29" i="2" s="1"/>
  <c r="AF29" i="2" s="1"/>
  <c r="AG29" i="2" s="1"/>
  <c r="AH29" i="2" s="1"/>
  <c r="H75" i="5"/>
  <c r="AC46" i="2"/>
  <c r="P100" i="6"/>
  <c r="M47" i="2" l="1"/>
  <c r="L47" i="2" s="1"/>
  <c r="AE100" i="6"/>
  <c r="AI29" i="2"/>
  <c r="AA45" i="2"/>
  <c r="AD46" i="2"/>
  <c r="AE46" i="2" s="1"/>
  <c r="AF46" i="2" s="1"/>
  <c r="AG46" i="2" s="1"/>
  <c r="O100" i="6"/>
  <c r="AD100" i="6" s="1"/>
  <c r="A9" i="6"/>
  <c r="P64" i="6"/>
  <c r="P62" i="6" s="1"/>
  <c r="M31" i="2" s="1"/>
  <c r="P82" i="6"/>
  <c r="P80" i="6" s="1"/>
  <c r="M34" i="2" s="1"/>
  <c r="AA47" i="2" l="1"/>
  <c r="AB45" i="2"/>
  <c r="AC45" i="2" s="1"/>
  <c r="AD45" i="2" s="1"/>
  <c r="AE45" i="2" s="1"/>
  <c r="AF45" i="2" s="1"/>
  <c r="AG45" i="2" s="1"/>
  <c r="AH45" i="2" s="1"/>
  <c r="AI45" i="2" s="1"/>
  <c r="AH46" i="2"/>
  <c r="AI46" i="2" s="1"/>
  <c r="H77" i="5"/>
  <c r="H61" i="5"/>
  <c r="L31" i="2"/>
  <c r="H64" i="5"/>
  <c r="L34" i="2"/>
  <c r="P68" i="6"/>
  <c r="M33" i="2" l="1"/>
  <c r="H63" i="5" s="1"/>
  <c r="AE68" i="6"/>
  <c r="AB47" i="2"/>
  <c r="AC47" i="2" s="1"/>
  <c r="AA31" i="2"/>
  <c r="AB31" i="2" s="1"/>
  <c r="AA34" i="2"/>
  <c r="AB34" i="2" s="1"/>
  <c r="O68" i="6"/>
  <c r="AD68" i="6" s="1"/>
  <c r="AA33" i="2" l="1"/>
  <c r="AC31" i="2"/>
  <c r="AD31" i="2" s="1"/>
  <c r="AE31" i="2" s="1"/>
  <c r="AD47" i="2"/>
  <c r="M23" i="2"/>
  <c r="L23" i="2" s="1"/>
  <c r="O31" i="6"/>
  <c r="AD31" i="6" s="1"/>
  <c r="AC34" i="2"/>
  <c r="AD34" i="2" s="1"/>
  <c r="L33" i="2"/>
  <c r="A12" i="2"/>
  <c r="AF31" i="2" l="1"/>
  <c r="AE47" i="2"/>
  <c r="AF47" i="2" s="1"/>
  <c r="AG47" i="2" s="1"/>
  <c r="AH47" i="2" s="1"/>
  <c r="AI47" i="2" s="1"/>
  <c r="AB33" i="2"/>
  <c r="AC33" i="2" s="1"/>
  <c r="H53" i="5"/>
  <c r="AA23" i="2"/>
  <c r="AB23" i="2" s="1"/>
  <c r="AE34" i="2"/>
  <c r="AF34" i="2" s="1"/>
  <c r="AG34" i="2" s="1"/>
  <c r="AH34" i="2" s="1"/>
  <c r="AI34" i="2" s="1"/>
  <c r="P17" i="6"/>
  <c r="AE17" i="6" s="1"/>
  <c r="AG31" i="2" l="1"/>
  <c r="AH31" i="2" s="1"/>
  <c r="AI31" i="2" s="1"/>
  <c r="AD33" i="2"/>
  <c r="O17" i="6"/>
  <c r="AD17" i="6" s="1"/>
  <c r="M20" i="2"/>
  <c r="H50" i="5" s="1"/>
  <c r="H485" i="5" s="1"/>
  <c r="O1" i="2" s="1"/>
  <c r="AC23" i="2"/>
  <c r="AD23" i="2" s="1"/>
  <c r="AE23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L20" i="2" l="1"/>
  <c r="AA20" i="2"/>
  <c r="AB20" i="2" s="1"/>
  <c r="AE33" i="2"/>
  <c r="AF33" i="2" s="1"/>
  <c r="AG33" i="2" s="1"/>
  <c r="AF23" i="2"/>
  <c r="C14" i="6"/>
  <c r="C13" i="6"/>
  <c r="AC20" i="2" l="1"/>
  <c r="AD20" i="2" s="1"/>
  <c r="AE20" i="2" s="1"/>
  <c r="AF20" i="2" s="1"/>
  <c r="AG20" i="2" s="1"/>
  <c r="AH33" i="2"/>
  <c r="AI33" i="2" s="1"/>
  <c r="AG23" i="2"/>
  <c r="AH23" i="2" s="1"/>
  <c r="AI23" i="2" s="1"/>
  <c r="A24" i="1"/>
  <c r="AH20" i="2" l="1"/>
  <c r="AI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84" i="5" l="1"/>
</calcChain>
</file>

<file path=xl/sharedStrings.xml><?xml version="1.0" encoding="utf-8"?>
<sst xmlns="http://schemas.openxmlformats.org/spreadsheetml/2006/main" count="1869" uniqueCount="1064">
  <si>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</si>
  <si>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</si>
  <si>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</si>
  <si>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</si>
  <si>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</si>
  <si>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</si>
  <si>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</si>
  <si>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</si>
  <si>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</si>
  <si>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</si>
  <si>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</si>
  <si>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</si>
  <si>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</si>
  <si>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</si>
  <si>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</si>
  <si>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</si>
  <si>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</si>
  <si>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</si>
  <si>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</si>
  <si>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</si>
  <si>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</si>
  <si>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</si>
  <si>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</si>
  <si>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</si>
  <si>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</si>
  <si>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</si>
  <si>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</si>
  <si>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</si>
  <si>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</si>
  <si>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</si>
  <si>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</si>
  <si>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</si>
  <si>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</si>
  <si>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</si>
  <si>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</si>
  <si>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</si>
  <si>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</si>
  <si>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</si>
  <si>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</si>
  <si>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</si>
  <si>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</si>
  <si>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</si>
  <si>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</si>
  <si>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</si>
  <si>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</si>
  <si>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</si>
  <si>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</si>
  <si>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</si>
  <si>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</si>
  <si>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</si>
  <si>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</si>
  <si>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</si>
  <si>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</si>
  <si>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</si>
  <si>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</si>
  <si>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</si>
  <si>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</si>
  <si>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</si>
  <si>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</si>
  <si>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</si>
  <si>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</si>
  <si>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</si>
  <si>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</si>
  <si>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</si>
  <si>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</si>
  <si>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</si>
  <si>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</si>
  <si>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</si>
  <si>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</si>
  <si>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</si>
  <si>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</si>
  <si>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</si>
  <si>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</si>
  <si>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</si>
  <si>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</si>
  <si>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</si>
  <si>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</si>
  <si>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</si>
  <si>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</si>
  <si>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</si>
  <si>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</si>
  <si>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</si>
  <si>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</si>
  <si>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</si>
  <si>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</si>
  <si>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</si>
  <si>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</si>
  <si>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</si>
  <si>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</si>
  <si>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</si>
  <si>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</si>
  <si>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</si>
  <si>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</si>
  <si>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</si>
  <si>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</si>
  <si>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</si>
  <si>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</si>
  <si>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</si>
  <si>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</si>
  <si>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</si>
  <si>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</si>
  <si>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</si>
  <si>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</si>
  <si>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</si>
  <si>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</si>
  <si>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</si>
  <si>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</si>
  <si>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</si>
  <si>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</si>
  <si>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</si>
  <si>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</si>
  <si>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</si>
  <si>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</si>
  <si>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</si>
  <si>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</si>
  <si>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</si>
  <si>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</si>
  <si>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</si>
  <si>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</si>
  <si>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</si>
  <si>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</si>
  <si>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</si>
  <si>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</si>
  <si>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</si>
  <si>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</si>
  <si>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</si>
  <si>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</si>
  <si>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</si>
  <si>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</si>
  <si>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</si>
  <si>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</si>
  <si>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</si>
  <si>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</si>
  <si>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</si>
  <si>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</si>
  <si>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</si>
  <si>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</si>
  <si>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</si>
  <si>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</si>
  <si>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</si>
  <si>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</si>
  <si>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</si>
  <si>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</si>
  <si>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</si>
  <si>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</si>
  <si>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</si>
  <si>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</si>
  <si>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</si>
  <si>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</si>
  <si>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</si>
  <si>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</si>
  <si>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</si>
  <si>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</si>
  <si>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</si>
  <si>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</si>
  <si>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</si>
  <si>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</si>
  <si>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</si>
  <si>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</si>
  <si>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</si>
  <si>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</si>
  <si>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</si>
  <si>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</si>
  <si>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</si>
  <si>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</si>
  <si>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</si>
  <si>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</si>
  <si>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</si>
  <si>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</si>
  <si>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</si>
  <si>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</si>
  <si>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</si>
  <si>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</si>
  <si>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</si>
  <si>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</si>
  <si>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</si>
  <si>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</si>
  <si>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</si>
  <si>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</si>
  <si>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</si>
  <si>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</si>
  <si>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</si>
  <si>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</si>
  <si>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</si>
  <si>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</si>
  <si>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</si>
  <si>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</si>
  <si>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</si>
  <si>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</si>
  <si>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</si>
  <si>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</si>
  <si>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</si>
  <si>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</si>
  <si>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</si>
  <si>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</si>
  <si>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</si>
  <si>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</si>
  <si>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</si>
  <si>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</si>
  <si>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</si>
  <si>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</si>
  <si>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</si>
  <si>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</si>
  <si>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</si>
  <si>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</si>
  <si>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</si>
  <si>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</si>
  <si>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</si>
  <si>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</si>
  <si>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</si>
  <si>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</si>
  <si>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</si>
  <si>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</si>
  <si>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</si>
  <si>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</si>
  <si>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</si>
  <si>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</si>
  <si>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</si>
  <si>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</si>
  <si>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</si>
  <si>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</si>
  <si>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</si>
  <si>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</si>
  <si>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</si>
  <si>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</si>
  <si>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</si>
  <si>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</si>
  <si>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</si>
  <si>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</si>
  <si>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</si>
  <si>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</si>
  <si>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</si>
  <si>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</si>
  <si>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</si>
  <si>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</si>
  <si>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</si>
  <si>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</si>
  <si>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</si>
  <si>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</si>
  <si>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</si>
  <si>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</si>
  <si>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</si>
  <si>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</si>
  <si>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</si>
  <si>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</si>
  <si>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</si>
  <si>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</si>
  <si>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</si>
  <si>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</si>
  <si>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</si>
  <si>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</si>
  <si>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</si>
  <si>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</si>
  <si>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</si>
  <si>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</si>
  <si>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</si>
  <si>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</si>
  <si>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</si>
  <si>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</si>
  <si>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</si>
  <si>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</si>
  <si>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</si>
  <si>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</si>
  <si>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</si>
  <si>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</si>
  <si>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</si>
  <si>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</si>
  <si>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</si>
  <si>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</si>
  <si>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</si>
  <si>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</si>
  <si>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</si>
  <si>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</si>
  <si>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</si>
  <si>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</si>
  <si>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</si>
  <si>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</si>
  <si>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</si>
  <si>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</si>
  <si>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</si>
  <si>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</si>
  <si>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</si>
  <si>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</si>
  <si>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</si>
  <si>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</si>
  <si>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</si>
  <si>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</si>
  <si>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</si>
  <si>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</si>
  <si>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</si>
  <si>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</si>
  <si>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</si>
  <si>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</si>
  <si>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</si>
  <si>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</si>
  <si>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</si>
  <si>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</si>
  <si>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</si>
  <si>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</si>
  <si>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</si>
  <si>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</si>
  <si>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</si>
  <si>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</si>
  <si>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</si>
  <si>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</si>
  <si>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</si>
  <si>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</si>
  <si>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</si>
  <si>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</si>
  <si>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</si>
  <si>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</si>
  <si>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</si>
  <si>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</si>
  <si>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</si>
  <si>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</si>
  <si>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</si>
  <si>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</si>
  <si>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</si>
  <si>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</si>
  <si>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</si>
  <si>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</si>
  <si>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</si>
  <si>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</si>
  <si>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</si>
  <si>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</si>
  <si>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</si>
  <si>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</si>
  <si>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</si>
  <si>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</si>
  <si>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</si>
  <si>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</si>
  <si>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</si>
  <si>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</si>
  <si>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</si>
  <si>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</si>
  <si>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</si>
  <si>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</si>
  <si>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</si>
  <si>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</si>
  <si>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</si>
  <si>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</si>
  <si>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</si>
  <si>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</si>
  <si>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</si>
  <si>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</si>
  <si>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</si>
  <si>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</si>
  <si>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</si>
  <si>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</si>
  <si>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</si>
  <si>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</si>
  <si>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</si>
  <si>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</si>
  <si>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</si>
  <si>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</si>
  <si>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</si>
  <si>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</si>
  <si>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</si>
  <si>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</si>
  <si>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</si>
  <si>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</si>
  <si>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</si>
  <si>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</si>
  <si>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</si>
  <si>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</si>
  <si>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</si>
  <si>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</si>
  <si>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</si>
  <si>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</si>
  <si>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</si>
  <si>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</si>
  <si>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</si>
  <si>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</si>
  <si>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</si>
  <si>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</si>
  <si>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</si>
  <si>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</si>
  <si>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</si>
  <si>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</si>
  <si>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</si>
  <si>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</si>
  <si>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</si>
  <si>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</si>
  <si>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</si>
  <si>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</si>
  <si>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</si>
  <si>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</si>
  <si>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</si>
  <si>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</si>
  <si>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</si>
  <si>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</si>
  <si>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</si>
  <si>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</si>
  <si>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</si>
  <si>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</si>
  <si>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</si>
  <si>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</si>
  <si>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</si>
  <si>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</si>
  <si>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</si>
  <si>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</si>
  <si>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</si>
  <si>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</si>
  <si>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</si>
  <si>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</si>
  <si>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</si>
  <si>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</si>
  <si>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</si>
  <si>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</si>
  <si>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</si>
  <si>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</si>
  <si>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</si>
  <si>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</si>
  <si>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</si>
  <si>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</si>
  <si>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</si>
  <si>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</si>
  <si>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</si>
  <si>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</si>
  <si>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</si>
  <si>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</si>
  <si>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</si>
  <si>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</si>
  <si>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</si>
  <si>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</si>
  <si>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</si>
  <si>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</si>
  <si>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</si>
  <si>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</si>
  <si>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</si>
  <si>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</si>
  <si>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</si>
  <si>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</si>
  <si>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</si>
  <si>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</si>
  <si>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</si>
  <si>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</si>
  <si>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</si>
  <si>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</si>
  <si>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</si>
  <si>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</si>
  <si>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</si>
  <si>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</si>
  <si>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</si>
  <si>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</si>
  <si>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</si>
  <si>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</si>
  <si>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</si>
  <si>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</si>
  <si>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</si>
  <si>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</si>
  <si>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</si>
  <si>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</si>
  <si>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</si>
  <si>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</si>
  <si>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</si>
  <si>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</si>
  <si>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</si>
  <si>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</si>
  <si>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</si>
  <si>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</si>
  <si>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</si>
  <si>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</si>
  <si>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</si>
  <si>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</si>
  <si>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</si>
  <si>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</si>
  <si>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</si>
  <si>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</si>
  <si>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</si>
  <si>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</si>
  <si>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</si>
  <si>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</si>
  <si>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</si>
  <si>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</si>
  <si>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</si>
  <si>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</si>
  <si>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</si>
  <si>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</si>
  <si>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</si>
  <si>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</si>
  <si>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</si>
  <si>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</si>
  <si>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</si>
  <si>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</si>
  <si>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</si>
  <si>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</si>
  <si>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</si>
  <si>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</si>
  <si>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</si>
  <si>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</si>
  <si>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</si>
  <si>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</si>
  <si>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</si>
  <si>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</si>
  <si>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</si>
  <si>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</si>
  <si>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</si>
  <si>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</si>
  <si>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</si>
  <si>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</si>
  <si>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</si>
  <si>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</si>
  <si>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</si>
  <si>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</si>
  <si>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</si>
  <si>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</si>
  <si>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</si>
  <si>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</si>
  <si>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</si>
  <si>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</si>
  <si>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</si>
  <si>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</si>
  <si>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</si>
  <si>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</si>
  <si>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</si>
  <si>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</si>
  <si>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</si>
  <si>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</si>
  <si>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</si>
  <si>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</si>
  <si>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</si>
  <si>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</si>
  <si>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</si>
  <si>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</si>
  <si>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</si>
  <si>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</si>
  <si>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</si>
  <si>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</si>
  <si>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</si>
  <si>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</si>
  <si>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</si>
  <si>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</si>
  <si>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</si>
  <si>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</si>
  <si>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</si>
  <si>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</si>
  <si>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</si>
  <si>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</si>
  <si>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</si>
  <si>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</si>
  <si>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</si>
  <si>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</si>
  <si>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</si>
  <si>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</si>
  <si>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</si>
  <si>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</si>
  <si>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</si>
  <si>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</si>
  <si>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</si>
  <si>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</si>
  <si>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</si>
  <si>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</si>
  <si>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</si>
  <si>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</si>
  <si>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</si>
  <si>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</si>
  <si>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</si>
  <si>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</si>
  <si>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</si>
  <si>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</si>
  <si>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</si>
  <si>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</si>
  <si>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</si>
  <si>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</si>
  <si>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</si>
  <si>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</si>
  <si>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</si>
  <si>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</si>
  <si>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</si>
  <si>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</si>
  <si>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</si>
  <si>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</si>
  <si>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</si>
  <si>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</si>
  <si>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</si>
  <si>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</si>
  <si>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</si>
  <si>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</si>
  <si>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</si>
  <si>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</si>
  <si>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</si>
  <si>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</si>
  <si>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</si>
  <si>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</si>
  <si>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</si>
  <si>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</si>
  <si>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</si>
  <si>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</si>
  <si>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</si>
  <si>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</si>
  <si>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</si>
  <si>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</si>
  <si>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</si>
  <si>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</si>
  <si>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</si>
  <si>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</si>
  <si>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</si>
  <si>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</si>
  <si>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</si>
  <si>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</si>
  <si>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</si>
  <si>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</si>
  <si>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</si>
  <si>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</si>
  <si>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</si>
  <si>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</si>
  <si>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</si>
  <si>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</si>
  <si>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</si>
  <si>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</si>
  <si>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</si>
  <si>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</si>
  <si>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</si>
  <si>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</si>
  <si>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</si>
  <si>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</si>
  <si>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</si>
  <si>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</si>
  <si>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</si>
  <si>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</si>
  <si>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</si>
  <si>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</si>
  <si>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</si>
  <si>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</si>
  <si>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</si>
  <si>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</si>
  <si>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</si>
  <si>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</si>
  <si>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</si>
  <si>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</si>
  <si>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</si>
  <si>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</si>
  <si>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</si>
  <si>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</si>
  <si>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</si>
  <si>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</si>
  <si>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</si>
  <si>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</si>
  <si>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</si>
  <si>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</si>
  <si>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</si>
  <si>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</si>
  <si>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</si>
  <si>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</si>
  <si>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</si>
  <si>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</si>
  <si>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</si>
  <si>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</si>
  <si>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</si>
  <si>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</si>
  <si>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</si>
  <si>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</si>
  <si>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</si>
  <si>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</si>
  <si>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</si>
  <si>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</si>
  <si>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</si>
  <si>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</si>
  <si>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</si>
  <si>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</si>
  <si>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</si>
  <si>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</si>
  <si>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</si>
  <si>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</si>
  <si>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</si>
  <si>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</si>
  <si>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</si>
  <si>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</si>
  <si>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</si>
  <si>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</si>
  <si>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</si>
  <si>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</si>
  <si>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</si>
  <si>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</si>
  <si>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</si>
  <si>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</si>
  <si>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</si>
  <si>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</si>
  <si>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</si>
  <si>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</si>
  <si>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</si>
  <si>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</si>
  <si>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</si>
  <si>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</si>
  <si>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</si>
  <si>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</si>
  <si>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</si>
  <si>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</si>
  <si>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</si>
  <si>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</si>
  <si>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</si>
  <si>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</si>
  <si>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</si>
  <si>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</si>
  <si>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</si>
  <si>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</si>
  <si>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</si>
  <si>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</si>
  <si>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</si>
  <si>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</si>
  <si>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</si>
  <si>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</si>
  <si>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</si>
  <si>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</si>
  <si>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</si>
  <si>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</si>
  <si>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</si>
  <si>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</si>
  <si>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</si>
  <si>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</si>
  <si>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</si>
  <si>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</si>
  <si>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</si>
  <si>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</si>
  <si>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</si>
  <si>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</si>
  <si>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</si>
  <si>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</si>
  <si>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</si>
  <si>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</si>
  <si>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</si>
  <si>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</si>
  <si>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</si>
  <si>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</si>
  <si>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</si>
  <si>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</si>
  <si>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</si>
  <si>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</si>
  <si>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</si>
  <si>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</si>
  <si>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</si>
  <si>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</si>
  <si>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</si>
  <si>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</si>
  <si>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</si>
  <si>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</si>
  <si>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</si>
  <si>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</si>
  <si>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</si>
  <si>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</si>
  <si>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</si>
  <si>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</si>
  <si>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</si>
  <si>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</si>
  <si>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</si>
  <si>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</si>
  <si>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</si>
  <si>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</si>
  <si>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</si>
  <si>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</si>
  <si>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</si>
  <si>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</si>
  <si>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</si>
  <si>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</si>
  <si>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</si>
  <si>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</si>
  <si>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</si>
  <si>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</si>
  <si>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</si>
  <si>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</si>
  <si>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</si>
  <si>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</si>
  <si>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</si>
  <si>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</si>
  <si>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</si>
  <si>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</si>
  <si>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</si>
  <si>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</si>
  <si>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</si>
  <si>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</si>
  <si>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</si>
  <si>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</si>
  <si>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</si>
  <si>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</si>
  <si>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</si>
  <si>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</si>
  <si>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</si>
  <si>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</si>
  <si>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</si>
  <si>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</si>
  <si>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</si>
  <si>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</si>
  <si>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</si>
  <si>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</si>
  <si>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</si>
  <si>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</si>
  <si>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</si>
  <si>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</si>
  <si>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</si>
  <si>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</si>
  <si>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</si>
  <si>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</si>
  <si>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</si>
  <si>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</si>
  <si>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</si>
  <si>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</si>
  <si>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</si>
  <si>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</si>
  <si>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</si>
  <si>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</si>
  <si>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</si>
  <si>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</si>
  <si>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</si>
  <si>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</si>
  <si>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</si>
  <si>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</si>
  <si>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</si>
  <si>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</si>
  <si>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</si>
  <si>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</si>
  <si>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</si>
  <si>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</si>
  <si>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</si>
  <si>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</si>
  <si>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</si>
  <si>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</si>
  <si>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</si>
  <si>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</si>
  <si>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</si>
  <si>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</si>
  <si>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</si>
  <si>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</si>
  <si>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</si>
  <si>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</si>
  <si>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</si>
  <si>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</si>
  <si>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</si>
  <si>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</si>
  <si>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</si>
  <si>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</si>
  <si>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</si>
  <si>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</si>
  <si>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</si>
  <si>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</si>
  <si>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</si>
  <si>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</si>
  <si>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</si>
  <si>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</si>
  <si>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</si>
  <si>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</si>
  <si>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</si>
  <si>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</si>
  <si>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</si>
  <si>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</si>
  <si>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</si>
  <si>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</si>
  <si>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</si>
  <si>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</si>
  <si>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</si>
  <si>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</si>
  <si>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</si>
  <si>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</si>
  <si>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</si>
  <si>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</si>
  <si>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</si>
  <si>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</si>
  <si>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</si>
  <si>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</si>
  <si>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</si>
  <si>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</si>
  <si>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</si>
  <si>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</si>
  <si>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</si>
  <si>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</si>
  <si>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</si>
  <si>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</si>
  <si>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</si>
  <si>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</si>
  <si>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</si>
  <si>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</si>
  <si>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</si>
  <si>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</si>
  <si>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</si>
  <si>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</si>
  <si>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</si>
  <si>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</si>
  <si>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</si>
  <si>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</si>
  <si>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</si>
  <si>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</si>
  <si>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</si>
  <si>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</si>
  <si>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</si>
  <si>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</si>
  <si>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</si>
  <si>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</si>
  <si>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</si>
  <si>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</si>
  <si>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</si>
  <si>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</si>
  <si>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</si>
  <si>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</si>
  <si>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</si>
  <si>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</si>
  <si>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</si>
  <si>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</si>
  <si>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</si>
  <si>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</si>
  <si>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</si>
  <si>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</si>
  <si>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</si>
  <si>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</si>
  <si>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</si>
  <si>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</si>
  <si>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</si>
  <si>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</si>
  <si>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</si>
  <si>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</si>
  <si>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</si>
  <si>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</si>
  <si>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</si>
  <si>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</si>
  <si>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</si>
  <si>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</si>
  <si>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</si>
  <si>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</si>
  <si>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</si>
  <si>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</si>
  <si>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</si>
  <si>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</si>
  <si>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</si>
  <si>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</si>
  <si>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</si>
  <si>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</si>
  <si>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</si>
  <si>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</si>
  <si>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</si>
  <si>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</si>
  <si>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</si>
  <si>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</si>
  <si>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</si>
  <si>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</si>
  <si>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</si>
  <si>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</si>
  <si>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</si>
  <si>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</si>
  <si>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</si>
  <si>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</si>
  <si>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</si>
  <si>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</si>
  <si>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</si>
  <si>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</si>
  <si>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</si>
  <si>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</si>
  <si>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</si>
  <si>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</si>
  <si>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</si>
  <si>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</si>
  <si>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</si>
  <si>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</si>
  <si>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</si>
  <si>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</si>
  <si>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</si>
  <si>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</si>
  <si>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</si>
  <si>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</si>
  <si>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</si>
  <si>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</si>
  <si>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</si>
  <si>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</si>
  <si>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</si>
  <si>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</si>
  <si>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</si>
  <si>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</si>
  <si>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</si>
  <si>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</si>
  <si>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</si>
  <si>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</si>
  <si>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</si>
  <si>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</si>
  <si>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</si>
  <si>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</si>
  <si>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</si>
  <si>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</si>
  <si>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</si>
  <si>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</si>
  <si>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</si>
  <si>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</si>
  <si>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</si>
  <si>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</si>
  <si>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</si>
  <si>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</si>
  <si>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</si>
  <si>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</si>
  <si>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Boyu</t>
  </si>
  <si>
    <t>KM2</t>
  </si>
  <si>
    <t>KM1</t>
  </si>
  <si>
    <t>Benzer</t>
  </si>
  <si>
    <t>Tutanak Özel No</t>
  </si>
  <si>
    <t>Tutanak Genel No</t>
  </si>
  <si>
    <t>Yeri</t>
  </si>
  <si>
    <t>Proje No</t>
  </si>
  <si>
    <t>Birim Ağırlık</t>
  </si>
  <si>
    <t>Ayna Kesit Tipi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</si>
  <si>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</si>
  <si>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</si>
  <si>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</si>
  <si>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</si>
  <si>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</si>
  <si>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</si>
  <si>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</si>
  <si>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</si>
  <si>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</si>
  <si>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</si>
  <si>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</si>
  <si>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</si>
  <si>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</si>
  <si>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</si>
  <si>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</si>
  <si>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</si>
  <si>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</si>
  <si>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</si>
  <si>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</si>
  <si>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</si>
  <si>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</si>
  <si>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</si>
  <si>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</si>
  <si>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</si>
  <si>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</si>
  <si>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</si>
  <si>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</si>
  <si>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</si>
  <si>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</si>
  <si>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</si>
  <si>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</si>
  <si>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</si>
  <si>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</si>
  <si>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</si>
  <si>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</si>
  <si>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</si>
  <si>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</si>
  <si>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</si>
  <si>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6 Nolu İksa Tipi Ayna
(KHU-KOZ1-L00-B1T-000-TGN-DEX-T-U-203-A)</t>
  </si>
  <si>
    <t>(KHU-KOZ1-L00-B1T-000-TGN-DEX-T-U-202-A)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</si>
  <si>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</si>
  <si>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</si>
  <si>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</si>
  <si>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</si>
  <si>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</si>
  <si>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</si>
  <si>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</si>
  <si>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</si>
  <si>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Alt Yarı</t>
  </si>
  <si>
    <t>Alt Yarı İmalatları</t>
  </si>
  <si>
    <t>Q377/377</t>
  </si>
  <si>
    <t>Metraj - 1.B - S06 - Barbaros-Hat-1-B1 Bağlantı-1 P2 Yönü Alt Yarı Aşaması (B1-106)</t>
  </si>
  <si>
    <t>2026.01-010</t>
  </si>
  <si>
    <t>2026.03-002</t>
  </si>
  <si>
    <t>S06.H2.B1.BAĞ1-P2.A-002</t>
  </si>
  <si>
    <t>S06.H2.B1.BAĞ1-P2.-A-001</t>
  </si>
  <si>
    <t>Kontak Enjeksiyon</t>
  </si>
  <si>
    <t>Önceki Hakediş</t>
  </si>
  <si>
    <t>Bu Hakediş Tutarı</t>
  </si>
  <si>
    <t>Kümülatif Hakediş</t>
  </si>
  <si>
    <t>Kalınlık</t>
  </si>
  <si>
    <t>Eni</t>
  </si>
  <si>
    <t>Yüksekliği</t>
  </si>
  <si>
    <t>Üst Yarı</t>
  </si>
  <si>
    <t>6 Nolu İksa Tipi Ayna</t>
  </si>
  <si>
    <t>Ayna Emniyet Shotcrete</t>
  </si>
  <si>
    <t>0</t>
  </si>
  <si>
    <t>2026.04-009</t>
  </si>
  <si>
    <t>S06.H2.B1.BAĞ1-P2.-A-002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</si>
</sst>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</cellStyleXfs>
  <cellXfs count="15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3" fillId="0" borderId="0" xfId="0" applyFont="1" applyAlignment="1">
      <alignment vertical="center"/>
    </xf>
    <xf numFmtId="168" fontId="0" fillId="0" borderId="7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8" fontId="0" fillId="0" borderId="6" xfId="1" applyNumberFormat="1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0" fillId="0" borderId="14" xfId="0" applyNumberFormat="1" applyBorder="1" applyAlignment="1">
      <alignment horizontal="centerContinuous" vertical="center"/>
    </xf>
    <xf numFmtId="169" fontId="0" fillId="0" borderId="7" xfId="0" applyNumberFormat="1" applyBorder="1" applyAlignment="1">
      <alignment horizontal="center" vertical="center"/>
    </xf>
    <xf numFmtId="43" fontId="0" fillId="0" borderId="7" xfId="1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 refreshError="1"/>
      <sheetData sheetId="1" refreshError="1">
        <row r="20">
          <cell r="K20">
            <v>0</v>
          </cell>
        </row>
        <row r="29">
          <cell r="K29">
            <v>0</v>
          </cell>
          <cell r="L29">
            <v>0</v>
          </cell>
        </row>
        <row r="30">
          <cell r="K30">
            <v>0</v>
          </cell>
        </row>
      </sheetData>
      <sheetData sheetId="2" refreshError="1"/>
      <sheetData sheetId="3" refreshError="1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24" sqref="A24:J24"/>
    </sheetView>
  </sheetViews>
  <sheetFormatPr defaultRowHeight="15" customHeight="1" x14ac:dyDescent="0.3"/>
  <cols>
    <col min="1" max="9" width="12.77734375" customWidth="1"/>
    <col min="10" max="10" width="16" customWidth="1"/>
  </cols>
  <sheetData>
    <row r="5" spans="1:10" s="2" customFormat="1" ht="29.4" x14ac:dyDescent="0.55000000000000004">
      <c r="A5" s="140" t="s">
        <v>0</v>
      </c>
      <c r="B5" s="140"/>
      <c r="C5" s="140"/>
      <c r="D5" s="140"/>
      <c r="E5" s="140"/>
      <c r="F5" s="140"/>
      <c r="G5" s="140"/>
      <c r="H5" s="140"/>
      <c r="I5" s="140"/>
      <c r="J5" s="140"/>
    </row>
    <row r="6" spans="1:10" s="2" customFormat="1" ht="29.4" x14ac:dyDescent="0.55000000000000004">
      <c r="A6" s="140" t="s">
        <v>1</v>
      </c>
      <c r="B6" s="140"/>
      <c r="C6" s="140"/>
      <c r="D6" s="140"/>
      <c r="E6" s="140"/>
      <c r="F6" s="140"/>
      <c r="G6" s="140"/>
      <c r="H6" s="140"/>
      <c r="I6" s="140"/>
      <c r="J6" s="140"/>
    </row>
    <row r="7" spans="1:10" s="2" customFormat="1" ht="29.4" customHeight="1" x14ac:dyDescent="0.35">
      <c r="A7" s="139" t="s">
        <v>1007</v>
      </c>
      <c r="B7" s="139"/>
      <c r="C7" s="139"/>
      <c r="D7" s="139"/>
      <c r="E7" s="139"/>
      <c r="F7" s="139"/>
      <c r="G7" s="139"/>
      <c r="H7" s="139"/>
      <c r="I7" s="139"/>
      <c r="J7" s="139"/>
    </row>
    <row r="8" spans="1:10" s="2" customFormat="1" ht="29.4" customHeight="1" x14ac:dyDescent="0.35">
      <c r="A8" s="139"/>
      <c r="B8" s="139"/>
      <c r="C8" s="139"/>
      <c r="D8" s="139"/>
      <c r="E8" s="139"/>
      <c r="F8" s="139"/>
      <c r="G8" s="139"/>
      <c r="H8" s="139"/>
      <c r="I8" s="139"/>
      <c r="J8" s="139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39" t="s">
        <v>2</v>
      </c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s="1" customFormat="1" ht="22.95" customHeight="1" x14ac:dyDescent="0.3">
      <c r="A13" s="139"/>
      <c r="B13" s="139"/>
      <c r="C13" s="139"/>
      <c r="D13" s="139"/>
      <c r="E13" s="139"/>
      <c r="F13" s="139"/>
      <c r="G13" s="139"/>
      <c r="H13" s="139"/>
      <c r="I13" s="139"/>
      <c r="J13" s="139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1">
        <f>+İcmal!C15</f>
        <v>6</v>
      </c>
      <c r="B24" s="141"/>
      <c r="C24" s="141"/>
      <c r="D24" s="141"/>
      <c r="E24" s="141"/>
      <c r="F24" s="141"/>
      <c r="G24" s="141"/>
      <c r="H24" s="141"/>
      <c r="I24" s="141"/>
      <c r="J24" s="141"/>
    </row>
    <row r="28" spans="1:10" ht="15" customHeight="1" x14ac:dyDescent="0.3">
      <c r="A28" s="138" t="s">
        <v>1046</v>
      </c>
      <c r="B28" s="137"/>
      <c r="C28" s="137"/>
      <c r="D28" s="137"/>
      <c r="E28" s="137"/>
      <c r="F28" s="137"/>
      <c r="G28" s="137"/>
      <c r="H28" s="137"/>
      <c r="I28" s="137"/>
      <c r="J28" s="137"/>
    </row>
    <row r="29" spans="1:10" ht="15" customHeight="1" x14ac:dyDescent="0.3">
      <c r="A29" s="137"/>
      <c r="B29" s="137"/>
      <c r="C29" s="137"/>
      <c r="D29" s="137"/>
      <c r="E29" s="137"/>
      <c r="F29" s="137"/>
      <c r="G29" s="137"/>
      <c r="H29" s="137"/>
      <c r="I29" s="137"/>
      <c r="J29" s="137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37" t="s">
        <v>3</v>
      </c>
      <c r="B33" s="137"/>
      <c r="C33" s="137"/>
      <c r="D33" s="137"/>
      <c r="E33" s="137"/>
      <c r="F33" s="137"/>
      <c r="G33" s="137"/>
      <c r="H33" s="137"/>
      <c r="I33" s="137"/>
      <c r="J33" s="137"/>
    </row>
    <row r="34" spans="1:10" ht="15" customHeight="1" x14ac:dyDescent="0.3">
      <c r="A34" s="137"/>
      <c r="B34" s="137"/>
      <c r="C34" s="137"/>
      <c r="D34" s="137"/>
      <c r="E34" s="137"/>
      <c r="F34" s="137"/>
      <c r="G34" s="137"/>
      <c r="H34" s="137"/>
      <c r="I34" s="137"/>
      <c r="J34" s="137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I68"/>
  <sheetViews>
    <sheetView tabSelected="1" view="pageBreakPreview" topLeftCell="A6" zoomScale="80" zoomScaleNormal="100" zoomScaleSheetLayoutView="80" workbookViewId="0">
      <selection activeCell="C17" sqref="C17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16384" width="8.88671875" style="9"/>
  </cols>
  <sheetData>
    <row r="1" spans="1:15" ht="15" customHeight="1" x14ac:dyDescent="0.3">
      <c r="O1" s="103">
        <f>+Liste!H485</f>
        <v>2538910.3479999998</v>
      </c>
    </row>
    <row r="5" spans="1:15" s="10" customFormat="1" ht="15" customHeight="1" x14ac:dyDescent="0.3">
      <c r="A5" s="148" t="s">
        <v>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</row>
    <row r="6" spans="1:15" s="10" customFormat="1" ht="15" customHeight="1" x14ac:dyDescent="0.3">
      <c r="A6" s="148" t="s">
        <v>1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</row>
    <row r="7" spans="1:15" s="10" customFormat="1" ht="15" customHeight="1" x14ac:dyDescent="0.3">
      <c r="A7" s="148" t="s">
        <v>1007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</row>
    <row r="8" spans="1:15" s="10" customFormat="1" ht="1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  <row r="9" spans="1:15" s="10" customFormat="1" ht="15" customHeight="1" x14ac:dyDescent="0.3">
      <c r="A9" s="119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</row>
    <row r="10" spans="1:15" s="10" customFormat="1" ht="15" customHeight="1" x14ac:dyDescent="0.3">
      <c r="A10" s="148" t="s">
        <v>2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</row>
    <row r="11" spans="1:15" s="10" customFormat="1" ht="15" customHeight="1" x14ac:dyDescent="0.3">
      <c r="A11" s="119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</row>
    <row r="12" spans="1:15" ht="15" customHeight="1" x14ac:dyDescent="0.3">
      <c r="A12" s="148" t="str">
        <f>+Kapak!A28</f>
        <v>Metraj - 1.B - S06 - Barbaros-Hat-1-B1 Bağlantı-1 P2 Yönü Alt Yarı Aşaması (B1-106)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</row>
    <row r="13" spans="1:15" ht="15" customHeight="1" x14ac:dyDescent="0.3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5" spans="1:15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1009</v>
      </c>
      <c r="Q18" s="20" t="s">
        <v>1009</v>
      </c>
      <c r="R18" s="20" t="s">
        <v>1009</v>
      </c>
      <c r="S18" s="20" t="s">
        <v>1009</v>
      </c>
      <c r="T18" s="20" t="s">
        <v>1009</v>
      </c>
      <c r="U18" s="20" t="s">
        <v>1009</v>
      </c>
      <c r="V18" s="20" t="s">
        <v>1009</v>
      </c>
      <c r="W18" s="20" t="s">
        <v>1009</v>
      </c>
      <c r="X18" s="20" t="s">
        <v>1009</v>
      </c>
      <c r="Y18" s="20" t="s">
        <v>1009</v>
      </c>
      <c r="Z18" s="20" t="s">
        <v>1009</v>
      </c>
      <c r="AA18" s="20" t="s">
        <v>1009</v>
      </c>
      <c r="AB18" s="20" t="s">
        <v>1009</v>
      </c>
      <c r="AC18" s="20" t="s">
        <v>1009</v>
      </c>
      <c r="AD18" s="20" t="s">
        <v>1009</v>
      </c>
      <c r="AE18" s="20" t="s">
        <v>1009</v>
      </c>
      <c r="AF18" s="20" t="s">
        <v>1009</v>
      </c>
      <c r="AG18" s="20" t="s">
        <v>1009</v>
      </c>
      <c r="AH18" s="20" t="s">
        <v>1009</v>
      </c>
      <c r="AI18" s="20" t="s">
        <v>1009</v>
      </c>
    </row>
    <row r="19" spans="2:35" ht="30" customHeight="1" x14ac:dyDescent="0.3">
      <c r="B19" s="15" t="s">
        <v>7</v>
      </c>
      <c r="C19" s="143" t="s">
        <v>8</v>
      </c>
      <c r="D19" s="143"/>
      <c r="E19" s="143"/>
      <c r="F19" s="143"/>
      <c r="G19" s="143"/>
      <c r="H19" s="144"/>
      <c r="I19" s="46"/>
      <c r="J19" s="15" t="s">
        <v>9</v>
      </c>
      <c r="K19" s="16" t="s">
        <v>1038</v>
      </c>
      <c r="L19" s="16" t="s">
        <v>1039</v>
      </c>
      <c r="M19" s="16" t="s">
        <v>1040</v>
      </c>
      <c r="O19" s="98"/>
      <c r="P19" s="21" t="s">
        <v>1010</v>
      </c>
      <c r="Q19" s="21" t="s">
        <v>1011</v>
      </c>
      <c r="R19" s="21" t="s">
        <v>1013</v>
      </c>
      <c r="S19" s="21" t="s">
        <v>1014</v>
      </c>
      <c r="T19" s="21" t="s">
        <v>1015</v>
      </c>
      <c r="U19" s="21" t="s">
        <v>1016</v>
      </c>
      <c r="V19" s="21" t="s">
        <v>1017</v>
      </c>
      <c r="W19" s="21" t="s">
        <v>1018</v>
      </c>
      <c r="X19" s="21" t="s">
        <v>1019</v>
      </c>
      <c r="Y19" s="21" t="s">
        <v>1020</v>
      </c>
      <c r="Z19" s="21" t="s">
        <v>1021</v>
      </c>
      <c r="AA19" s="21" t="s">
        <v>1022</v>
      </c>
      <c r="AB19" s="21" t="s">
        <v>1023</v>
      </c>
      <c r="AC19" s="21" t="s">
        <v>1024</v>
      </c>
      <c r="AD19" s="21" t="s">
        <v>1025</v>
      </c>
      <c r="AE19" s="21" t="s">
        <v>1026</v>
      </c>
      <c r="AF19" s="21" t="s">
        <v>1027</v>
      </c>
      <c r="AG19" s="21" t="s">
        <v>1028</v>
      </c>
      <c r="AH19" s="21" t="s">
        <v>1029</v>
      </c>
      <c r="AI19" s="21" t="s">
        <v>1030</v>
      </c>
    </row>
    <row r="20" spans="2:35" ht="30" customHeight="1" x14ac:dyDescent="0.3">
      <c r="B20" s="29" t="s">
        <v>120</v>
      </c>
      <c r="C20" s="145" t="str">
        <f>+VLOOKUP(B20,Liste!B:E,2,FALSE)</f>
        <v>Geleneksel (NATM) Tünel Kazısı</v>
      </c>
      <c r="D20" s="145"/>
      <c r="E20" s="145"/>
      <c r="F20" s="145"/>
      <c r="G20" s="145"/>
      <c r="H20" s="146"/>
      <c r="I20" s="47"/>
      <c r="J20" s="22" t="str">
        <f>+VLOOKUP(B20,Liste!B:E,3,FALSE)</f>
        <v>m³</v>
      </c>
      <c r="K20" s="22">
        <v>83.763999999999996</v>
      </c>
      <c r="L20" s="114">
        <f>+M20-K20</f>
        <v>0</v>
      </c>
      <c r="M20" s="90">
        <f>+IFERROR(VLOOKUP(B20,Metraj!B:P,15,FALSE),"0")</f>
        <v>83.763999999999996</v>
      </c>
      <c r="O20" s="98"/>
      <c r="P20" s="96"/>
      <c r="Q20" s="96"/>
      <c r="R20" s="96"/>
      <c r="S20" s="96"/>
      <c r="T20" s="90"/>
      <c r="U20" s="90"/>
      <c r="V20" s="90"/>
      <c r="W20" s="90"/>
      <c r="X20" s="90">
        <v>0</v>
      </c>
      <c r="Y20" s="90"/>
      <c r="Z20" s="90">
        <v>83.763999999999996</v>
      </c>
      <c r="AA20" s="90">
        <f>$M20-SUM($P20:Z20)</f>
        <v>0</v>
      </c>
      <c r="AB20" s="90">
        <f>$M20-SUM($P20:AA20)</f>
        <v>0</v>
      </c>
      <c r="AC20" s="90">
        <f>$M20-SUM($P20:AB20)</f>
        <v>0</v>
      </c>
      <c r="AD20" s="90">
        <f>$M20-SUM($P20:AC20)</f>
        <v>0</v>
      </c>
      <c r="AE20" s="90">
        <f>$M20-SUM($P20:AD20)</f>
        <v>0</v>
      </c>
      <c r="AF20" s="90">
        <f>$M20-SUM($P20:AE20)</f>
        <v>0</v>
      </c>
      <c r="AG20" s="90">
        <f>$M20-SUM($P20:AF20)</f>
        <v>0</v>
      </c>
      <c r="AH20" s="90">
        <f>$M20-SUM($P20:AG20)</f>
        <v>0</v>
      </c>
      <c r="AI20" s="90">
        <f>$M20-SUM($P20:AH20)</f>
        <v>0</v>
      </c>
    </row>
    <row r="21" spans="2:35" ht="30" hidden="1" customHeight="1" x14ac:dyDescent="0.3">
      <c r="B21" s="29" t="s">
        <v>122</v>
      </c>
      <c r="C21" s="145" t="str">
        <f>+VLOOKUP(B21,Liste!B:E,2,FALSE)</f>
        <v>Kazıdan çıkan veya Ariyetten alınan malzeme ile geri dolgu yapılması</v>
      </c>
      <c r="D21" s="145"/>
      <c r="E21" s="145"/>
      <c r="F21" s="145"/>
      <c r="G21" s="145"/>
      <c r="H21" s="146"/>
      <c r="I21" s="47"/>
      <c r="J21" s="22" t="str">
        <f>+VLOOKUP(B21,Liste!B:E,3,FALSE)</f>
        <v>m³</v>
      </c>
      <c r="K21" s="22" t="s">
        <v>1061</v>
      </c>
      <c r="L21" s="114">
        <v>0</v>
      </c>
      <c r="M21" s="90" t="str">
        <f>+IFERROR(VLOOKUP(B21,Metraj!B:P,15,FALSE),"0")</f>
        <v>0</v>
      </c>
      <c r="P21" s="96"/>
      <c r="Q21" s="96"/>
      <c r="R21" s="96"/>
      <c r="S21" s="96"/>
      <c r="T21" s="90"/>
      <c r="U21" s="90"/>
      <c r="V21" s="90"/>
      <c r="W21" s="90"/>
      <c r="X21" s="90">
        <v>0</v>
      </c>
      <c r="Y21" s="90"/>
      <c r="Z21" s="90">
        <v>0</v>
      </c>
      <c r="AA21" s="90">
        <f>$M21-SUM($P21:Z21)</f>
        <v>0</v>
      </c>
      <c r="AB21" s="90">
        <f>$M21-SUM($P21:AA21)</f>
        <v>0</v>
      </c>
      <c r="AC21" s="90">
        <f>$M21-SUM($P21:AB21)</f>
        <v>0</v>
      </c>
      <c r="AD21" s="90">
        <f>$M21-SUM($P21:AC21)</f>
        <v>0</v>
      </c>
      <c r="AE21" s="90">
        <f>$M21-SUM($P21:AD21)</f>
        <v>0</v>
      </c>
      <c r="AF21" s="90">
        <f>$M21-SUM($P21:AE21)</f>
        <v>0</v>
      </c>
      <c r="AG21" s="90">
        <f>$M21-SUM($P21:AF21)</f>
        <v>0</v>
      </c>
      <c r="AH21" s="90">
        <f>$M21-SUM($P21:AG21)</f>
        <v>0</v>
      </c>
      <c r="AI21" s="90">
        <f>$M21-SUM($P21:AH21)</f>
        <v>0</v>
      </c>
    </row>
    <row r="22" spans="2:35" ht="30" hidden="1" customHeight="1" x14ac:dyDescent="0.3">
      <c r="B22" s="29" t="s">
        <v>124</v>
      </c>
      <c r="C22" s="145" t="str">
        <f>+VLOOKUP(B22,Liste!B:E,2,FALSE)</f>
        <v>Kum, Çakıl, Kırma Tas ve Benzeri Malzeme ile Dolgu Yapılması</v>
      </c>
      <c r="D22" s="145"/>
      <c r="E22" s="145"/>
      <c r="F22" s="145"/>
      <c r="G22" s="145"/>
      <c r="H22" s="146"/>
      <c r="I22" s="47"/>
      <c r="J22" s="22" t="str">
        <f>+VLOOKUP(B22,Liste!B:E,3,FALSE)</f>
        <v>m³</v>
      </c>
      <c r="K22" s="22" t="s">
        <v>1061</v>
      </c>
      <c r="L22" s="114">
        <f t="shared" ref="L22:L49" si="0">+M22-K22</f>
        <v>0</v>
      </c>
      <c r="M22" s="90" t="str">
        <f>+IFERROR(VLOOKUP(B22,Metraj!B:P,15,FALSE),"0")</f>
        <v>0</v>
      </c>
      <c r="P22" s="96"/>
      <c r="Q22" s="96"/>
      <c r="R22" s="96"/>
      <c r="S22" s="96"/>
      <c r="T22" s="90"/>
      <c r="U22" s="90"/>
      <c r="V22" s="90"/>
      <c r="W22" s="90"/>
      <c r="X22" s="90">
        <v>0</v>
      </c>
      <c r="Y22" s="90"/>
      <c r="Z22" s="90">
        <v>0</v>
      </c>
      <c r="AA22" s="90">
        <f>$M22-SUM($P22:Z22)</f>
        <v>0</v>
      </c>
      <c r="AB22" s="90">
        <f>$M22-SUM($P22:AA22)</f>
        <v>0</v>
      </c>
      <c r="AC22" s="90">
        <f>$M22-SUM($P22:AB22)</f>
        <v>0</v>
      </c>
      <c r="AD22" s="90">
        <f>$M22-SUM($P22:AC22)</f>
        <v>0</v>
      </c>
      <c r="AE22" s="90">
        <f>$M22-SUM($P22:AD22)</f>
        <v>0</v>
      </c>
      <c r="AF22" s="90">
        <f>$M22-SUM($P22:AE22)</f>
        <v>0</v>
      </c>
      <c r="AG22" s="90">
        <f>$M22-SUM($P22:AF22)</f>
        <v>0</v>
      </c>
      <c r="AH22" s="90">
        <f>$M22-SUM($P22:AG22)</f>
        <v>0</v>
      </c>
      <c r="AI22" s="90">
        <f>$M22-SUM($P22:AH22)</f>
        <v>0</v>
      </c>
    </row>
    <row r="23" spans="2:35" ht="30" customHeight="1" x14ac:dyDescent="0.3">
      <c r="B23" s="29" t="s">
        <v>125</v>
      </c>
      <c r="C23" s="145" t="str">
        <f>+VLOOKUP(B23,Liste!B:E,2,FALSE)</f>
        <v>Püskürtme Beton (Tünel ve Şaftlarda)</v>
      </c>
      <c r="D23" s="145"/>
      <c r="E23" s="145"/>
      <c r="F23" s="145"/>
      <c r="G23" s="145"/>
      <c r="H23" s="146"/>
      <c r="I23" s="47"/>
      <c r="J23" s="22" t="str">
        <f>+VLOOKUP(B23,Liste!B:E,3,FALSE)</f>
        <v>m³</v>
      </c>
      <c r="K23" s="22">
        <v>21.931999999999999</v>
      </c>
      <c r="L23" s="114">
        <f t="shared" si="0"/>
        <v>0</v>
      </c>
      <c r="M23" s="90">
        <f>+IFERROR(VLOOKUP(B23,Metraj!B:P,15,FALSE),"0")</f>
        <v>21.931999999999999</v>
      </c>
      <c r="O23" s="98"/>
      <c r="P23" s="96"/>
      <c r="Q23" s="96"/>
      <c r="R23" s="96"/>
      <c r="S23" s="96"/>
      <c r="T23" s="90"/>
      <c r="U23" s="90"/>
      <c r="V23" s="90"/>
      <c r="W23" s="90"/>
      <c r="X23" s="90">
        <v>0</v>
      </c>
      <c r="Y23" s="90"/>
      <c r="Z23" s="90">
        <v>21.931999999999999</v>
      </c>
      <c r="AA23" s="90">
        <f>$M23-SUM($P23:Z23)</f>
        <v>0</v>
      </c>
      <c r="AB23" s="90">
        <f>$M23-SUM($P23:AA23)</f>
        <v>0</v>
      </c>
      <c r="AC23" s="90">
        <f>$M23-SUM($P23:AB23)</f>
        <v>0</v>
      </c>
      <c r="AD23" s="90">
        <f>$M23-SUM($P23:AC23)</f>
        <v>0</v>
      </c>
      <c r="AE23" s="90">
        <f>$M23-SUM($P23:AD23)</f>
        <v>0</v>
      </c>
      <c r="AF23" s="90">
        <f>$M23-SUM($P23:AE23)</f>
        <v>0</v>
      </c>
      <c r="AG23" s="90">
        <f>$M23-SUM($P23:AF23)</f>
        <v>0</v>
      </c>
      <c r="AH23" s="90">
        <f>$M23-SUM($P23:AG23)</f>
        <v>0</v>
      </c>
      <c r="AI23" s="90">
        <f>$M23-SUM($P23:AH23)</f>
        <v>0</v>
      </c>
    </row>
    <row r="24" spans="2:35" ht="30" hidden="1" customHeight="1" x14ac:dyDescent="0.3">
      <c r="B24" s="29" t="s">
        <v>127</v>
      </c>
      <c r="C24" s="145" t="str">
        <f>+VLOOKUP(B24,Liste!B:E,2,FALSE)</f>
        <v>Delgi boyu =&lt; 30m</v>
      </c>
      <c r="D24" s="145"/>
      <c r="E24" s="145"/>
      <c r="F24" s="145"/>
      <c r="G24" s="145"/>
      <c r="H24" s="146"/>
      <c r="I24" s="47"/>
      <c r="J24" s="22" t="str">
        <f>+VLOOKUP(B24,Liste!B:E,3,FALSE)</f>
        <v>m</v>
      </c>
      <c r="K24" s="22" t="s">
        <v>1061</v>
      </c>
      <c r="L24" s="114">
        <f t="shared" si="0"/>
        <v>0</v>
      </c>
      <c r="M24" s="90" t="str">
        <f>+IFERROR(VLOOKUP(B24,Metraj!B:P,15,FALSE),"0")</f>
        <v>0</v>
      </c>
      <c r="P24" s="96"/>
      <c r="Q24" s="96"/>
      <c r="R24" s="96"/>
      <c r="S24" s="96"/>
      <c r="T24" s="90"/>
      <c r="U24" s="90"/>
      <c r="V24" s="90"/>
      <c r="W24" s="90"/>
      <c r="X24" s="90">
        <v>0</v>
      </c>
      <c r="Y24" s="90"/>
      <c r="Z24" s="90">
        <v>0</v>
      </c>
      <c r="AA24" s="90">
        <f>$M24-SUM($P24:Z24)</f>
        <v>0</v>
      </c>
      <c r="AB24" s="90">
        <f>$M24-SUM($P24:AA24)</f>
        <v>0</v>
      </c>
      <c r="AC24" s="90">
        <f>$M24-SUM($P24:AB24)</f>
        <v>0</v>
      </c>
      <c r="AD24" s="90">
        <f>$M24-SUM($P24:AC24)</f>
        <v>0</v>
      </c>
      <c r="AE24" s="90">
        <f>$M24-SUM($P24:AD24)</f>
        <v>0</v>
      </c>
      <c r="AF24" s="90">
        <f>$M24-SUM($P24:AE24)</f>
        <v>0</v>
      </c>
      <c r="AG24" s="90">
        <f>$M24-SUM($P24:AF24)</f>
        <v>0</v>
      </c>
      <c r="AH24" s="90">
        <f>$M24-SUM($P24:AG24)</f>
        <v>0</v>
      </c>
      <c r="AI24" s="90">
        <f>$M24-SUM($P24:AH24)</f>
        <v>0</v>
      </c>
    </row>
    <row r="25" spans="2:35" ht="30" hidden="1" customHeight="1" x14ac:dyDescent="0.3">
      <c r="B25" s="29" t="s">
        <v>129</v>
      </c>
      <c r="C25" s="145" t="str">
        <f>+VLOOKUP(B25,Liste!B:E,2,FALSE)</f>
        <v>Delgi boyu &gt; 30m</v>
      </c>
      <c r="D25" s="145"/>
      <c r="E25" s="145"/>
      <c r="F25" s="145"/>
      <c r="G25" s="145"/>
      <c r="H25" s="146"/>
      <c r="I25" s="47"/>
      <c r="J25" s="22" t="str">
        <f>+VLOOKUP(B25,Liste!B:E,3,FALSE)</f>
        <v>m</v>
      </c>
      <c r="K25" s="22" t="s">
        <v>1061</v>
      </c>
      <c r="L25" s="114">
        <f t="shared" si="0"/>
        <v>0</v>
      </c>
      <c r="M25" s="90" t="str">
        <f>+IFERROR(VLOOKUP(B25,Metraj!B:P,15,FALSE),"0")</f>
        <v>0</v>
      </c>
      <c r="P25" s="96"/>
      <c r="Q25" s="96"/>
      <c r="R25" s="96"/>
      <c r="S25" s="96"/>
      <c r="T25" s="90"/>
      <c r="U25" s="90"/>
      <c r="V25" s="90"/>
      <c r="W25" s="90"/>
      <c r="X25" s="90">
        <v>0</v>
      </c>
      <c r="Y25" s="90"/>
      <c r="Z25" s="90">
        <v>0</v>
      </c>
      <c r="AA25" s="90">
        <f>$M25-SUM($P25:Z25)</f>
        <v>0</v>
      </c>
      <c r="AB25" s="90">
        <f>$M25-SUM($P25:AA25)</f>
        <v>0</v>
      </c>
      <c r="AC25" s="90">
        <f>$M25-SUM($P25:AB25)</f>
        <v>0</v>
      </c>
      <c r="AD25" s="90">
        <f>$M25-SUM($P25:AC25)</f>
        <v>0</v>
      </c>
      <c r="AE25" s="90">
        <f>$M25-SUM($P25:AD25)</f>
        <v>0</v>
      </c>
      <c r="AF25" s="90">
        <f>$M25-SUM($P25:AE25)</f>
        <v>0</v>
      </c>
      <c r="AG25" s="90">
        <f>$M25-SUM($P25:AF25)</f>
        <v>0</v>
      </c>
      <c r="AH25" s="90">
        <f>$M25-SUM($P25:AG25)</f>
        <v>0</v>
      </c>
      <c r="AI25" s="90">
        <f>$M25-SUM($P25:AH25)</f>
        <v>0</v>
      </c>
    </row>
    <row r="26" spans="2:35" ht="30" hidden="1" customHeight="1" x14ac:dyDescent="0.3">
      <c r="B26" s="29" t="s">
        <v>131</v>
      </c>
      <c r="C26" s="145" t="str">
        <f>+VLOOKUP(B26,Liste!B:E,2,FALSE)</f>
        <v>L=3 m Kaya Bulonu</v>
      </c>
      <c r="D26" s="145"/>
      <c r="E26" s="145"/>
      <c r="F26" s="145"/>
      <c r="G26" s="145"/>
      <c r="H26" s="146"/>
      <c r="I26" s="47"/>
      <c r="J26" s="22" t="str">
        <f>+VLOOKUP(B26,Liste!B:E,3,FALSE)</f>
        <v>adet</v>
      </c>
      <c r="K26" s="22" t="s">
        <v>1061</v>
      </c>
      <c r="L26" s="114">
        <f t="shared" si="0"/>
        <v>0</v>
      </c>
      <c r="M26" s="90" t="str">
        <f>+IFERROR(VLOOKUP(B26,Metraj!B:P,15,FALSE),"0")</f>
        <v>0</v>
      </c>
      <c r="P26" s="96"/>
      <c r="Q26" s="96"/>
      <c r="R26" s="96"/>
      <c r="S26" s="96"/>
      <c r="T26" s="90"/>
      <c r="U26" s="90"/>
      <c r="V26" s="90"/>
      <c r="W26" s="90"/>
      <c r="X26" s="90">
        <v>0</v>
      </c>
      <c r="Y26" s="90"/>
      <c r="Z26" s="90">
        <v>0</v>
      </c>
      <c r="AA26" s="90">
        <f>$M26-SUM($P26:Z26)</f>
        <v>0</v>
      </c>
      <c r="AB26" s="90">
        <f>$M26-SUM($P26:AA26)</f>
        <v>0</v>
      </c>
      <c r="AC26" s="90">
        <f>$M26-SUM($P26:AB26)</f>
        <v>0</v>
      </c>
      <c r="AD26" s="90">
        <f>$M26-SUM($P26:AC26)</f>
        <v>0</v>
      </c>
      <c r="AE26" s="90">
        <f>$M26-SUM($P26:AD26)</f>
        <v>0</v>
      </c>
      <c r="AF26" s="90">
        <f>$M26-SUM($P26:AE26)</f>
        <v>0</v>
      </c>
      <c r="AG26" s="90">
        <f>$M26-SUM($P26:AF26)</f>
        <v>0</v>
      </c>
      <c r="AH26" s="90">
        <f>$M26-SUM($P26:AG26)</f>
        <v>0</v>
      </c>
      <c r="AI26" s="90">
        <f>$M26-SUM($P26:AH26)</f>
        <v>0</v>
      </c>
    </row>
    <row r="27" spans="2:35" ht="30" hidden="1" customHeight="1" x14ac:dyDescent="0.3">
      <c r="B27" s="29" t="s">
        <v>132</v>
      </c>
      <c r="C27" s="145" t="str">
        <f>+VLOOKUP(B27,Liste!B:E,2,FALSE)</f>
        <v>L=4 m Kaya Bulonu</v>
      </c>
      <c r="D27" s="145"/>
      <c r="E27" s="145"/>
      <c r="F27" s="145"/>
      <c r="G27" s="145"/>
      <c r="H27" s="146"/>
      <c r="I27" s="47"/>
      <c r="J27" s="22" t="str">
        <f>+VLOOKUP(B27,Liste!B:E,3,FALSE)</f>
        <v>adet</v>
      </c>
      <c r="K27" s="22" t="s">
        <v>1061</v>
      </c>
      <c r="L27" s="114">
        <f t="shared" si="0"/>
        <v>0</v>
      </c>
      <c r="M27" s="90" t="str">
        <f>+IFERROR(VLOOKUP(B27,Metraj!B:P,15,FALSE),"0")</f>
        <v>0</v>
      </c>
      <c r="P27" s="96"/>
      <c r="Q27" s="96"/>
      <c r="R27" s="96"/>
      <c r="S27" s="96"/>
      <c r="T27" s="90"/>
      <c r="U27" s="90"/>
      <c r="V27" s="90"/>
      <c r="W27" s="90"/>
      <c r="X27" s="90">
        <v>0</v>
      </c>
      <c r="Y27" s="90"/>
      <c r="Z27" s="90">
        <v>0</v>
      </c>
      <c r="AA27" s="90">
        <f>$M27-SUM($P27:Z27)</f>
        <v>0</v>
      </c>
      <c r="AB27" s="90">
        <f>$M27-SUM($P27:AA27)</f>
        <v>0</v>
      </c>
      <c r="AC27" s="90">
        <f>$M27-SUM($P27:AB27)</f>
        <v>0</v>
      </c>
      <c r="AD27" s="90">
        <f>$M27-SUM($P27:AC27)</f>
        <v>0</v>
      </c>
      <c r="AE27" s="90">
        <f>$M27-SUM($P27:AD27)</f>
        <v>0</v>
      </c>
      <c r="AF27" s="90">
        <f>$M27-SUM($P27:AE27)</f>
        <v>0</v>
      </c>
      <c r="AG27" s="90">
        <f>$M27-SUM($P27:AF27)</f>
        <v>0</v>
      </c>
      <c r="AH27" s="90">
        <f>$M27-SUM($P27:AG27)</f>
        <v>0</v>
      </c>
      <c r="AI27" s="90">
        <f>$M27-SUM($P27:AH27)</f>
        <v>0</v>
      </c>
    </row>
    <row r="28" spans="2:35" ht="30" hidden="1" customHeight="1" x14ac:dyDescent="0.3">
      <c r="B28" s="29" t="s">
        <v>133</v>
      </c>
      <c r="C28" s="145" t="str">
        <f>+VLOOKUP(B28,Liste!B:E,2,FALSE)</f>
        <v>L=5 m Kaya Bulonu</v>
      </c>
      <c r="D28" s="145"/>
      <c r="E28" s="145"/>
      <c r="F28" s="145"/>
      <c r="G28" s="145"/>
      <c r="H28" s="146"/>
      <c r="I28" s="47"/>
      <c r="J28" s="22" t="str">
        <f>+VLOOKUP(B28,Liste!B:E,3,FALSE)</f>
        <v>adet</v>
      </c>
      <c r="K28" s="22" t="s">
        <v>1061</v>
      </c>
      <c r="L28" s="114">
        <f t="shared" si="0"/>
        <v>0</v>
      </c>
      <c r="M28" s="90" t="str">
        <f>+IFERROR(VLOOKUP(B28,Metraj!B:P,15,FALSE),"0")</f>
        <v>0</v>
      </c>
      <c r="P28" s="96"/>
      <c r="Q28" s="96"/>
      <c r="R28" s="96"/>
      <c r="S28" s="96"/>
      <c r="T28" s="90"/>
      <c r="U28" s="90"/>
      <c r="V28" s="90"/>
      <c r="W28" s="90"/>
      <c r="X28" s="90">
        <v>0</v>
      </c>
      <c r="Y28" s="90"/>
      <c r="Z28" s="90">
        <v>0</v>
      </c>
      <c r="AA28" s="90">
        <f>$M28-SUM($P28:Z28)</f>
        <v>0</v>
      </c>
      <c r="AB28" s="90">
        <f>$M28-SUM($P28:AA28)</f>
        <v>0</v>
      </c>
      <c r="AC28" s="90">
        <f>$M28-SUM($P28:AB28)</f>
        <v>0</v>
      </c>
      <c r="AD28" s="90">
        <f>$M28-SUM($P28:AC28)</f>
        <v>0</v>
      </c>
      <c r="AE28" s="90">
        <f>$M28-SUM($P28:AD28)</f>
        <v>0</v>
      </c>
      <c r="AF28" s="90">
        <f>$M28-SUM($P28:AE28)</f>
        <v>0</v>
      </c>
      <c r="AG28" s="90">
        <f>$M28-SUM($P28:AF28)</f>
        <v>0</v>
      </c>
      <c r="AH28" s="90">
        <f>$M28-SUM($P28:AG28)</f>
        <v>0</v>
      </c>
      <c r="AI28" s="90">
        <f>$M28-SUM($P28:AH28)</f>
        <v>0</v>
      </c>
    </row>
    <row r="29" spans="2:35" ht="30" hidden="1" customHeight="1" x14ac:dyDescent="0.3">
      <c r="B29" s="29" t="s">
        <v>134</v>
      </c>
      <c r="C29" s="145" t="str">
        <f>+VLOOKUP(B29,Liste!B:E,2,FALSE)</f>
        <v>L=6 m Kaya Bulonu</v>
      </c>
      <c r="D29" s="145"/>
      <c r="E29" s="145"/>
      <c r="F29" s="145"/>
      <c r="G29" s="145"/>
      <c r="H29" s="146"/>
      <c r="I29" s="47"/>
      <c r="J29" s="22" t="str">
        <f>+VLOOKUP(B29,Liste!B:E,3,FALSE)</f>
        <v>adet</v>
      </c>
      <c r="K29" s="22">
        <v>0</v>
      </c>
      <c r="L29" s="114">
        <f t="shared" si="0"/>
        <v>0</v>
      </c>
      <c r="M29" s="90">
        <f>+IFERROR(VLOOKUP(B29,Metraj!B:P,15,FALSE),"0")</f>
        <v>0</v>
      </c>
      <c r="P29" s="96"/>
      <c r="Q29" s="96"/>
      <c r="R29" s="96"/>
      <c r="S29" s="96"/>
      <c r="T29" s="90"/>
      <c r="U29" s="90"/>
      <c r="V29" s="90"/>
      <c r="W29" s="90"/>
      <c r="X29" s="90">
        <v>0</v>
      </c>
      <c r="Y29" s="90"/>
      <c r="Z29" s="90">
        <v>0</v>
      </c>
      <c r="AA29" s="90">
        <f>$M29-SUM($P29:Z29)</f>
        <v>0</v>
      </c>
      <c r="AB29" s="90">
        <f>$M29-SUM($P29:AA29)</f>
        <v>0</v>
      </c>
      <c r="AC29" s="90">
        <f>$M29-SUM($P29:AB29)</f>
        <v>0</v>
      </c>
      <c r="AD29" s="90">
        <f>$M29-SUM($P29:AC29)</f>
        <v>0</v>
      </c>
      <c r="AE29" s="90">
        <f>$M29-SUM($P29:AD29)</f>
        <v>0</v>
      </c>
      <c r="AF29" s="90">
        <f>$M29-SUM($P29:AE29)</f>
        <v>0</v>
      </c>
      <c r="AG29" s="90">
        <f>$M29-SUM($P29:AF29)</f>
        <v>0</v>
      </c>
      <c r="AH29" s="90">
        <f>$M29-SUM($P29:AG29)</f>
        <v>0</v>
      </c>
      <c r="AI29" s="90">
        <f>$M29-SUM($P29:AH29)</f>
        <v>0</v>
      </c>
    </row>
    <row r="30" spans="2:35" ht="30" customHeight="1" x14ac:dyDescent="0.3">
      <c r="B30" s="29" t="s">
        <v>135</v>
      </c>
      <c r="C30" s="145" t="str">
        <f>+VLOOKUP(B30,Liste!B:E,2,FALSE)</f>
        <v>L=8 m Kaya Bulonu</v>
      </c>
      <c r="D30" s="145"/>
      <c r="E30" s="145"/>
      <c r="F30" s="145"/>
      <c r="G30" s="145"/>
      <c r="H30" s="146"/>
      <c r="I30" s="47"/>
      <c r="J30" s="22" t="str">
        <f>+VLOOKUP(B30,Liste!B:E,3,FALSE)</f>
        <v>adet</v>
      </c>
      <c r="K30" s="22">
        <v>22</v>
      </c>
      <c r="L30" s="114">
        <f t="shared" si="0"/>
        <v>22</v>
      </c>
      <c r="M30" s="90">
        <f>+IFERROR(VLOOKUP(B30,Metraj!B:P,15,FALSE),"0")</f>
        <v>44</v>
      </c>
      <c r="P30" s="96"/>
      <c r="Q30" s="96"/>
      <c r="R30" s="96"/>
      <c r="S30" s="96"/>
      <c r="T30" s="90"/>
      <c r="U30" s="90"/>
      <c r="V30" s="90"/>
      <c r="W30" s="90"/>
      <c r="X30" s="90">
        <v>22</v>
      </c>
      <c r="Y30" s="90"/>
      <c r="Z30" s="90">
        <v>0</v>
      </c>
      <c r="AA30" s="90">
        <f>$M30-SUM($P30:Z30)</f>
        <v>22</v>
      </c>
      <c r="AB30" s="90">
        <f>$M30-SUM($P30:AA30)</f>
        <v>0</v>
      </c>
      <c r="AC30" s="90">
        <f>$M30-SUM($P30:AB30)</f>
        <v>0</v>
      </c>
      <c r="AD30" s="90">
        <f>$M30-SUM($P30:AC30)</f>
        <v>0</v>
      </c>
      <c r="AE30" s="90">
        <f>$M30-SUM($P30:AD30)</f>
        <v>0</v>
      </c>
      <c r="AF30" s="90">
        <f>$M30-SUM($P30:AE30)</f>
        <v>0</v>
      </c>
      <c r="AG30" s="90">
        <f>$M30-SUM($P30:AF30)</f>
        <v>0</v>
      </c>
      <c r="AH30" s="90">
        <f>$M30-SUM($P30:AG30)</f>
        <v>0</v>
      </c>
      <c r="AI30" s="90">
        <f>$M30-SUM($P30:AH30)</f>
        <v>0</v>
      </c>
    </row>
    <row r="31" spans="2:35" ht="30" hidden="1" customHeight="1" x14ac:dyDescent="0.3">
      <c r="B31" s="29" t="s">
        <v>137</v>
      </c>
      <c r="C31" s="145" t="str">
        <f>+VLOOKUP(B31,Liste!B:E,2,FALSE)</f>
        <v>125 mm Delik İçine 14 mm Kalınlığında S420a ile Zemin Çivisi Teşkili</v>
      </c>
      <c r="D31" s="145"/>
      <c r="E31" s="145"/>
      <c r="F31" s="145"/>
      <c r="G31" s="145"/>
      <c r="H31" s="146"/>
      <c r="I31" s="47"/>
      <c r="J31" s="22" t="str">
        <f>+VLOOKUP(B31,Liste!B:E,3,FALSE)</f>
        <v>m</v>
      </c>
      <c r="K31" s="22">
        <v>0</v>
      </c>
      <c r="L31" s="114">
        <f t="shared" si="0"/>
        <v>0</v>
      </c>
      <c r="M31" s="90">
        <f>+IFERROR(VLOOKUP(B31,Metraj!B:P,15,FALSE),"0")</f>
        <v>0</v>
      </c>
      <c r="P31" s="96"/>
      <c r="Q31" s="96"/>
      <c r="R31" s="96"/>
      <c r="S31" s="96"/>
      <c r="T31" s="90"/>
      <c r="U31" s="90"/>
      <c r="V31" s="90"/>
      <c r="W31" s="90"/>
      <c r="X31" s="90">
        <v>0</v>
      </c>
      <c r="Y31" s="90"/>
      <c r="Z31" s="90">
        <v>0</v>
      </c>
      <c r="AA31" s="90">
        <f>$M31-SUM($P31:Z31)</f>
        <v>0</v>
      </c>
      <c r="AB31" s="90">
        <f>$M31-SUM($P31:AA31)</f>
        <v>0</v>
      </c>
      <c r="AC31" s="90">
        <f>$M31-SUM($P31:AB31)</f>
        <v>0</v>
      </c>
      <c r="AD31" s="90">
        <f>$M31-SUM($P31:AC31)</f>
        <v>0</v>
      </c>
      <c r="AE31" s="90">
        <f>$M31-SUM($P31:AD31)</f>
        <v>0</v>
      </c>
      <c r="AF31" s="90">
        <f>$M31-SUM($P31:AE31)</f>
        <v>0</v>
      </c>
      <c r="AG31" s="90">
        <f>$M31-SUM($P31:AF31)</f>
        <v>0</v>
      </c>
      <c r="AH31" s="90">
        <f>$M31-SUM($P31:AG31)</f>
        <v>0</v>
      </c>
      <c r="AI31" s="90">
        <f>$M31-SUM($P31:AH31)</f>
        <v>0</v>
      </c>
    </row>
    <row r="32" spans="2:35" ht="30" hidden="1" customHeight="1" x14ac:dyDescent="0.3">
      <c r="B32" s="29" t="s">
        <v>138</v>
      </c>
      <c r="C32" s="145" t="str">
        <f>+VLOOKUP(B32,Liste!B:E,2,FALSE)</f>
        <v>125 mm Delik İçine 26 mm Kalınlığında S420a ile Zemin Çivisi Teşkili</v>
      </c>
      <c r="D32" s="145"/>
      <c r="E32" s="145"/>
      <c r="F32" s="145"/>
      <c r="G32" s="145"/>
      <c r="H32" s="146"/>
      <c r="I32" s="47"/>
      <c r="J32" s="22" t="str">
        <f>+VLOOKUP(B32,Liste!B:E,3,FALSE)</f>
        <v>m</v>
      </c>
      <c r="K32" s="22" t="s">
        <v>1061</v>
      </c>
      <c r="L32" s="114">
        <f t="shared" si="0"/>
        <v>0</v>
      </c>
      <c r="M32" s="90" t="str">
        <f>+IFERROR(VLOOKUP(B32,Metraj!B:P,15,FALSE),"0")</f>
        <v>0</v>
      </c>
      <c r="P32" s="96"/>
      <c r="Q32" s="96"/>
      <c r="R32" s="96"/>
      <c r="S32" s="96"/>
      <c r="T32" s="90"/>
      <c r="U32" s="90"/>
      <c r="V32" s="90"/>
      <c r="W32" s="90"/>
      <c r="X32" s="90">
        <v>0</v>
      </c>
      <c r="Y32" s="90"/>
      <c r="Z32" s="90">
        <v>0</v>
      </c>
      <c r="AA32" s="90">
        <f>$M32-SUM($P32:Z32)</f>
        <v>0</v>
      </c>
      <c r="AB32" s="90">
        <f>$M32-SUM($P32:AA32)</f>
        <v>0</v>
      </c>
      <c r="AC32" s="90">
        <f>$M32-SUM($P32:AB32)</f>
        <v>0</v>
      </c>
      <c r="AD32" s="90">
        <f>$M32-SUM($P32:AC32)</f>
        <v>0</v>
      </c>
      <c r="AE32" s="90">
        <f>$M32-SUM($P32:AD32)</f>
        <v>0</v>
      </c>
      <c r="AF32" s="90">
        <f>$M32-SUM($P32:AE32)</f>
        <v>0</v>
      </c>
      <c r="AG32" s="90">
        <f>$M32-SUM($P32:AF32)</f>
        <v>0</v>
      </c>
      <c r="AH32" s="90">
        <f>$M32-SUM($P32:AG32)</f>
        <v>0</v>
      </c>
      <c r="AI32" s="90">
        <f>$M32-SUM($P32:AH32)</f>
        <v>0</v>
      </c>
    </row>
    <row r="33" spans="2:35" ht="30" customHeight="1" x14ac:dyDescent="0.3">
      <c r="B33" s="29" t="s">
        <v>139</v>
      </c>
      <c r="C33" s="145" t="str">
        <f>+VLOOKUP(B33,Liste!B:E,2,FALSE)</f>
        <v>Çelik İksa (Tünel ve Şaftlarda)</v>
      </c>
      <c r="D33" s="145"/>
      <c r="E33" s="145"/>
      <c r="F33" s="145"/>
      <c r="G33" s="145"/>
      <c r="H33" s="146"/>
      <c r="I33" s="47"/>
      <c r="J33" s="22" t="str">
        <f>+VLOOKUP(B33,Liste!B:E,3,FALSE)</f>
        <v>ton</v>
      </c>
      <c r="K33" s="22">
        <v>4.383</v>
      </c>
      <c r="L33" s="114">
        <f t="shared" si="0"/>
        <v>0</v>
      </c>
      <c r="M33" s="90">
        <f>+IFERROR(VLOOKUP(B33,Metraj!B:P,15,FALSE),"0")</f>
        <v>4.383</v>
      </c>
      <c r="P33" s="96"/>
      <c r="Q33" s="96"/>
      <c r="R33" s="96"/>
      <c r="S33" s="96"/>
      <c r="T33" s="90"/>
      <c r="U33" s="90"/>
      <c r="V33" s="90"/>
      <c r="W33" s="90"/>
      <c r="X33" s="90">
        <v>0</v>
      </c>
      <c r="Y33" s="90"/>
      <c r="Z33" s="90">
        <v>4.383</v>
      </c>
      <c r="AA33" s="90">
        <f>$M33-SUM($P33:Z33)</f>
        <v>0</v>
      </c>
      <c r="AB33" s="90">
        <f>$M33-SUM($P33:AA33)</f>
        <v>0</v>
      </c>
      <c r="AC33" s="90">
        <f>$M33-SUM($P33:AB33)</f>
        <v>0</v>
      </c>
      <c r="AD33" s="90">
        <f>$M33-SUM($P33:AC33)</f>
        <v>0</v>
      </c>
      <c r="AE33" s="90">
        <f>$M33-SUM($P33:AD33)</f>
        <v>0</v>
      </c>
      <c r="AF33" s="90">
        <f>$M33-SUM($P33:AE33)</f>
        <v>0</v>
      </c>
      <c r="AG33" s="90">
        <f>$M33-SUM($P33:AF33)</f>
        <v>0</v>
      </c>
      <c r="AH33" s="90">
        <f>$M33-SUM($P33:AG33)</f>
        <v>0</v>
      </c>
      <c r="AI33" s="90">
        <f>$M33-SUM($P33:AH33)</f>
        <v>0</v>
      </c>
    </row>
    <row r="34" spans="2:35" ht="30" hidden="1" customHeight="1" x14ac:dyDescent="0.3">
      <c r="B34" s="29" t="s">
        <v>141</v>
      </c>
      <c r="C34" s="145" t="str">
        <f>+VLOOKUP(B34,Liste!B:E,2,FALSE)</f>
        <v>Umbrella Arch Yapılması</v>
      </c>
      <c r="D34" s="145"/>
      <c r="E34" s="145"/>
      <c r="F34" s="145"/>
      <c r="G34" s="145"/>
      <c r="H34" s="146"/>
      <c r="I34" s="47"/>
      <c r="J34" s="22" t="str">
        <f>+VLOOKUP(B34,Liste!B:E,3,FALSE)</f>
        <v>m</v>
      </c>
      <c r="K34" s="22">
        <v>0</v>
      </c>
      <c r="L34" s="114">
        <f t="shared" si="0"/>
        <v>0</v>
      </c>
      <c r="M34" s="90">
        <f>+IFERROR(VLOOKUP(B34,Metraj!B:P,15,FALSE),"0")</f>
        <v>0</v>
      </c>
      <c r="P34" s="96"/>
      <c r="Q34" s="96"/>
      <c r="R34" s="96"/>
      <c r="S34" s="96"/>
      <c r="T34" s="90"/>
      <c r="U34" s="90"/>
      <c r="V34" s="90"/>
      <c r="W34" s="90"/>
      <c r="X34" s="90">
        <v>0</v>
      </c>
      <c r="Y34" s="90"/>
      <c r="Z34" s="90">
        <v>0</v>
      </c>
      <c r="AA34" s="90">
        <f>$M34-SUM($P34:Z34)</f>
        <v>0</v>
      </c>
      <c r="AB34" s="90">
        <f>$M34-SUM($P34:AA34)</f>
        <v>0</v>
      </c>
      <c r="AC34" s="90">
        <f>$M34-SUM($P34:AB34)</f>
        <v>0</v>
      </c>
      <c r="AD34" s="90">
        <f>$M34-SUM($P34:AC34)</f>
        <v>0</v>
      </c>
      <c r="AE34" s="90">
        <f>$M34-SUM($P34:AD34)</f>
        <v>0</v>
      </c>
      <c r="AF34" s="90">
        <f>$M34-SUM($P34:AE34)</f>
        <v>0</v>
      </c>
      <c r="AG34" s="90">
        <f>$M34-SUM($P34:AF34)</f>
        <v>0</v>
      </c>
      <c r="AH34" s="90">
        <f>$M34-SUM($P34:AG34)</f>
        <v>0</v>
      </c>
      <c r="AI34" s="90">
        <f>$M34-SUM($P34:AH34)</f>
        <v>0</v>
      </c>
    </row>
    <row r="35" spans="2:35" ht="30" hidden="1" customHeight="1" x14ac:dyDescent="0.3">
      <c r="B35" s="29" t="s">
        <v>143</v>
      </c>
      <c r="C35" s="145" t="str">
        <f>+VLOOKUP(B35,Liste!B:E,2,FALSE)</f>
        <v>Tünel ve şaftlarda su yalıtımı, birim ağırlığı &gt;=500 g/metrekare geotekstil keçe</v>
      </c>
      <c r="D35" s="145"/>
      <c r="E35" s="145"/>
      <c r="F35" s="145"/>
      <c r="G35" s="145"/>
      <c r="H35" s="146"/>
      <c r="I35" s="47"/>
      <c r="J35" s="22" t="str">
        <f>+VLOOKUP(B35,Liste!B:E,3,FALSE)</f>
        <v>m²</v>
      </c>
      <c r="K35" s="22" t="s">
        <v>1061</v>
      </c>
      <c r="L35" s="114">
        <f t="shared" si="0"/>
        <v>0</v>
      </c>
      <c r="M35" s="90" t="str">
        <f>+IFERROR(VLOOKUP(B35,Metraj!B:P,15,FALSE),"0")</f>
        <v>0</v>
      </c>
      <c r="P35" s="96"/>
      <c r="Q35" s="96"/>
      <c r="R35" s="96"/>
      <c r="S35" s="96"/>
      <c r="T35" s="90"/>
      <c r="U35" s="90"/>
      <c r="V35" s="90"/>
      <c r="W35" s="90"/>
      <c r="X35" s="90">
        <v>0</v>
      </c>
      <c r="Y35" s="90"/>
      <c r="Z35" s="90">
        <v>0</v>
      </c>
      <c r="AA35" s="90">
        <f>$M35-SUM($P35:Z35)</f>
        <v>0</v>
      </c>
      <c r="AB35" s="90">
        <f>$M35-SUM($P35:AA35)</f>
        <v>0</v>
      </c>
      <c r="AC35" s="90">
        <f>$M35-SUM($P35:AB35)</f>
        <v>0</v>
      </c>
      <c r="AD35" s="90">
        <f>$M35-SUM($P35:AC35)</f>
        <v>0</v>
      </c>
      <c r="AE35" s="90">
        <f>$M35-SUM($P35:AD35)</f>
        <v>0</v>
      </c>
      <c r="AF35" s="90">
        <f>$M35-SUM($P35:AE35)</f>
        <v>0</v>
      </c>
      <c r="AG35" s="90">
        <f>$M35-SUM($P35:AF35)</f>
        <v>0</v>
      </c>
      <c r="AH35" s="90">
        <f>$M35-SUM($P35:AG35)</f>
        <v>0</v>
      </c>
      <c r="AI35" s="90">
        <f>$M35-SUM($P35:AH35)</f>
        <v>0</v>
      </c>
    </row>
    <row r="36" spans="2:35" ht="30" hidden="1" customHeight="1" x14ac:dyDescent="0.3">
      <c r="B36" s="29" t="s">
        <v>145</v>
      </c>
      <c r="C36" s="145" t="str">
        <f>+VLOOKUP(B36,Liste!B:E,2,FALSE)</f>
        <v>Tünel ve şaftlarda su yalıtımı, 2mm kalınlıklı PVC membran</v>
      </c>
      <c r="D36" s="145"/>
      <c r="E36" s="145"/>
      <c r="F36" s="145"/>
      <c r="G36" s="145"/>
      <c r="H36" s="146"/>
      <c r="I36" s="47"/>
      <c r="J36" s="22" t="str">
        <f>+VLOOKUP(B36,Liste!B:E,3,FALSE)</f>
        <v>m²</v>
      </c>
      <c r="K36" s="22" t="s">
        <v>1061</v>
      </c>
      <c r="L36" s="114">
        <f t="shared" si="0"/>
        <v>0</v>
      </c>
      <c r="M36" s="90" t="str">
        <f>+IFERROR(VLOOKUP(B36,Metraj!B:P,15,FALSE),"0")</f>
        <v>0</v>
      </c>
      <c r="P36" s="96"/>
      <c r="Q36" s="96"/>
      <c r="R36" s="96"/>
      <c r="S36" s="96"/>
      <c r="T36" s="90"/>
      <c r="U36" s="90"/>
      <c r="V36" s="90"/>
      <c r="W36" s="90"/>
      <c r="X36" s="90">
        <v>0</v>
      </c>
      <c r="Y36" s="90"/>
      <c r="Z36" s="90">
        <v>0</v>
      </c>
      <c r="AA36" s="90">
        <f>$M36-SUM($P36:Z36)</f>
        <v>0</v>
      </c>
      <c r="AB36" s="90">
        <f>$M36-SUM($P36:AA36)</f>
        <v>0</v>
      </c>
      <c r="AC36" s="90">
        <f>$M36-SUM($P36:AB36)</f>
        <v>0</v>
      </c>
      <c r="AD36" s="90">
        <f>$M36-SUM($P36:AC36)</f>
        <v>0</v>
      </c>
      <c r="AE36" s="90">
        <f>$M36-SUM($P36:AD36)</f>
        <v>0</v>
      </c>
      <c r="AF36" s="90">
        <f>$M36-SUM($P36:AE36)</f>
        <v>0</v>
      </c>
      <c r="AG36" s="90">
        <f>$M36-SUM($P36:AF36)</f>
        <v>0</v>
      </c>
      <c r="AH36" s="90">
        <f>$M36-SUM($P36:AG36)</f>
        <v>0</v>
      </c>
      <c r="AI36" s="90">
        <f>$M36-SUM($P36:AH36)</f>
        <v>0</v>
      </c>
    </row>
    <row r="37" spans="2:35" ht="30" hidden="1" customHeight="1" x14ac:dyDescent="0.3">
      <c r="B37" s="29" t="s">
        <v>147</v>
      </c>
      <c r="C37" s="145" t="str">
        <f>+VLOOKUP(B37,Liste!B:E,2,FALSE)</f>
        <v>Su Tutucular (Tünel ve Şaftlarda)</v>
      </c>
      <c r="D37" s="145"/>
      <c r="E37" s="145"/>
      <c r="F37" s="145"/>
      <c r="G37" s="145"/>
      <c r="H37" s="146"/>
      <c r="I37" s="47"/>
      <c r="J37" s="22" t="str">
        <f>+VLOOKUP(B37,Liste!B:E,3,FALSE)</f>
        <v>m</v>
      </c>
      <c r="K37" s="22" t="s">
        <v>1061</v>
      </c>
      <c r="L37" s="114">
        <f t="shared" si="0"/>
        <v>0</v>
      </c>
      <c r="M37" s="90" t="str">
        <f>+IFERROR(VLOOKUP(B37,Metraj!B:P,15,FALSE),"0")</f>
        <v>0</v>
      </c>
      <c r="P37" s="96"/>
      <c r="Q37" s="96"/>
      <c r="R37" s="96"/>
      <c r="S37" s="96"/>
      <c r="T37" s="90"/>
      <c r="U37" s="90"/>
      <c r="V37" s="90"/>
      <c r="W37" s="90"/>
      <c r="X37" s="90">
        <v>0</v>
      </c>
      <c r="Y37" s="90"/>
      <c r="Z37" s="90">
        <v>0</v>
      </c>
      <c r="AA37" s="90">
        <f>$M37-SUM($P37:Z37)</f>
        <v>0</v>
      </c>
      <c r="AB37" s="90">
        <f>$M37-SUM($P37:AA37)</f>
        <v>0</v>
      </c>
      <c r="AC37" s="90">
        <f>$M37-SUM($P37:AB37)</f>
        <v>0</v>
      </c>
      <c r="AD37" s="90">
        <f>$M37-SUM($P37:AC37)</f>
        <v>0</v>
      </c>
      <c r="AE37" s="90">
        <f>$M37-SUM($P37:AD37)</f>
        <v>0</v>
      </c>
      <c r="AF37" s="90">
        <f>$M37-SUM($P37:AE37)</f>
        <v>0</v>
      </c>
      <c r="AG37" s="90">
        <f>$M37-SUM($P37:AF37)</f>
        <v>0</v>
      </c>
      <c r="AH37" s="90">
        <f>$M37-SUM($P37:AG37)</f>
        <v>0</v>
      </c>
      <c r="AI37" s="90">
        <f>$M37-SUM($P37:AH37)</f>
        <v>0</v>
      </c>
    </row>
    <row r="38" spans="2:35" ht="30" hidden="1" customHeight="1" x14ac:dyDescent="0.3">
      <c r="B38" s="29" t="s">
        <v>149</v>
      </c>
      <c r="C38" s="145" t="str">
        <f>+VLOOKUP(B38,Liste!B:E,2,FALSE)</f>
        <v>Kalıp (invert ve şaft için)</v>
      </c>
      <c r="D38" s="145"/>
      <c r="E38" s="145"/>
      <c r="F38" s="145"/>
      <c r="G38" s="145"/>
      <c r="H38" s="146"/>
      <c r="I38" s="47"/>
      <c r="J38" s="22" t="str">
        <f>+VLOOKUP(B38,Liste!B:E,3,FALSE)</f>
        <v>m²</v>
      </c>
      <c r="K38" s="22" t="s">
        <v>1061</v>
      </c>
      <c r="L38" s="114">
        <f t="shared" si="0"/>
        <v>0</v>
      </c>
      <c r="M38" s="90" t="str">
        <f>+IFERROR(VLOOKUP(B38,Metraj!B:P,15,FALSE),"0")</f>
        <v>0</v>
      </c>
      <c r="P38" s="96"/>
      <c r="Q38" s="96"/>
      <c r="R38" s="96"/>
      <c r="S38" s="96"/>
      <c r="T38" s="90"/>
      <c r="U38" s="90"/>
      <c r="V38" s="90"/>
      <c r="W38" s="90"/>
      <c r="X38" s="90">
        <v>0</v>
      </c>
      <c r="Y38" s="90"/>
      <c r="Z38" s="90">
        <v>0</v>
      </c>
      <c r="AA38" s="90">
        <f>$M38-SUM($P38:Z38)</f>
        <v>0</v>
      </c>
      <c r="AB38" s="90">
        <f>$M38-SUM($P38:AA38)</f>
        <v>0</v>
      </c>
      <c r="AC38" s="90">
        <f>$M38-SUM($P38:AB38)</f>
        <v>0</v>
      </c>
      <c r="AD38" s="90">
        <f>$M38-SUM($P38:AC38)</f>
        <v>0</v>
      </c>
      <c r="AE38" s="90">
        <f>$M38-SUM($P38:AD38)</f>
        <v>0</v>
      </c>
      <c r="AF38" s="90">
        <f>$M38-SUM($P38:AE38)</f>
        <v>0</v>
      </c>
      <c r="AG38" s="90">
        <f>$M38-SUM($P38:AF38)</f>
        <v>0</v>
      </c>
      <c r="AH38" s="90">
        <f>$M38-SUM($P38:AG38)</f>
        <v>0</v>
      </c>
      <c r="AI38" s="90">
        <f>$M38-SUM($P38:AH38)</f>
        <v>0</v>
      </c>
    </row>
    <row r="39" spans="2:35" ht="30" hidden="1" customHeight="1" x14ac:dyDescent="0.3">
      <c r="B39" s="29" t="s">
        <v>151</v>
      </c>
      <c r="C39" s="145" t="str">
        <f>+VLOOKUP(B39,Liste!B:E,2,FALSE)</f>
        <v>Kalıp (duvar ve kemer İçin)</v>
      </c>
      <c r="D39" s="145"/>
      <c r="E39" s="145"/>
      <c r="F39" s="145"/>
      <c r="G39" s="145"/>
      <c r="H39" s="146"/>
      <c r="I39" s="47"/>
      <c r="J39" s="22" t="str">
        <f>+VLOOKUP(B39,Liste!B:E,3,FALSE)</f>
        <v>m²</v>
      </c>
      <c r="K39" s="22" t="s">
        <v>1061</v>
      </c>
      <c r="L39" s="114">
        <f t="shared" si="0"/>
        <v>0</v>
      </c>
      <c r="M39" s="90" t="str">
        <f>+IFERROR(VLOOKUP(B39,Metraj!B:P,15,FALSE),"0")</f>
        <v>0</v>
      </c>
      <c r="P39" s="96"/>
      <c r="Q39" s="96"/>
      <c r="R39" s="96"/>
      <c r="S39" s="96"/>
      <c r="T39" s="90"/>
      <c r="U39" s="90"/>
      <c r="V39" s="90"/>
      <c r="W39" s="90"/>
      <c r="X39" s="90">
        <v>0</v>
      </c>
      <c r="Y39" s="90"/>
      <c r="Z39" s="90">
        <v>0</v>
      </c>
      <c r="AA39" s="90">
        <f>$M39-SUM($P39:Z39)</f>
        <v>0</v>
      </c>
      <c r="AB39" s="90">
        <f>$M39-SUM($P39:AA39)</f>
        <v>0</v>
      </c>
      <c r="AC39" s="90">
        <f>$M39-SUM($P39:AB39)</f>
        <v>0</v>
      </c>
      <c r="AD39" s="90">
        <f>$M39-SUM($P39:AC39)</f>
        <v>0</v>
      </c>
      <c r="AE39" s="90">
        <f>$M39-SUM($P39:AD39)</f>
        <v>0</v>
      </c>
      <c r="AF39" s="90">
        <f>$M39-SUM($P39:AE39)</f>
        <v>0</v>
      </c>
      <c r="AG39" s="90">
        <f>$M39-SUM($P39:AF39)</f>
        <v>0</v>
      </c>
      <c r="AH39" s="90">
        <f>$M39-SUM($P39:AG39)</f>
        <v>0</v>
      </c>
      <c r="AI39" s="90">
        <f>$M39-SUM($P39:AH39)</f>
        <v>0</v>
      </c>
    </row>
    <row r="40" spans="2:35" ht="30" hidden="1" customHeight="1" x14ac:dyDescent="0.3">
      <c r="B40" s="29" t="s">
        <v>153</v>
      </c>
      <c r="C40" s="145" t="str">
        <f>+VLOOKUP(B40,Liste!B:E,2,FALSE)</f>
        <v>Tip Kesit Dışı Konstrüksiyon Kalıbı, Tünel Alın Kalıbı</v>
      </c>
      <c r="D40" s="145"/>
      <c r="E40" s="145"/>
      <c r="F40" s="145"/>
      <c r="G40" s="145"/>
      <c r="H40" s="146"/>
      <c r="I40" s="47"/>
      <c r="J40" s="22" t="str">
        <f>+VLOOKUP(B40,Liste!B:E,3,FALSE)</f>
        <v>m²</v>
      </c>
      <c r="K40" s="22" t="s">
        <v>1061</v>
      </c>
      <c r="L40" s="114">
        <f t="shared" si="0"/>
        <v>0</v>
      </c>
      <c r="M40" s="90" t="str">
        <f>+IFERROR(VLOOKUP(B40,Metraj!B:P,15,FALSE),"0")</f>
        <v>0</v>
      </c>
      <c r="P40" s="96"/>
      <c r="Q40" s="96"/>
      <c r="R40" s="96"/>
      <c r="S40" s="96"/>
      <c r="T40" s="90"/>
      <c r="U40" s="90"/>
      <c r="V40" s="90"/>
      <c r="W40" s="90"/>
      <c r="X40" s="90">
        <v>0</v>
      </c>
      <c r="Y40" s="90"/>
      <c r="Z40" s="90">
        <v>0</v>
      </c>
      <c r="AA40" s="90">
        <f>$M40-SUM($P40:Z40)</f>
        <v>0</v>
      </c>
      <c r="AB40" s="90">
        <f>$M40-SUM($P40:AA40)</f>
        <v>0</v>
      </c>
      <c r="AC40" s="90">
        <f>$M40-SUM($P40:AB40)</f>
        <v>0</v>
      </c>
      <c r="AD40" s="90">
        <f>$M40-SUM($P40:AC40)</f>
        <v>0</v>
      </c>
      <c r="AE40" s="90">
        <f>$M40-SUM($P40:AD40)</f>
        <v>0</v>
      </c>
      <c r="AF40" s="90">
        <f>$M40-SUM($P40:AE40)</f>
        <v>0</v>
      </c>
      <c r="AG40" s="90">
        <f>$M40-SUM($P40:AF40)</f>
        <v>0</v>
      </c>
      <c r="AH40" s="90">
        <f>$M40-SUM($P40:AG40)</f>
        <v>0</v>
      </c>
      <c r="AI40" s="90">
        <f>$M40-SUM($P40:AH40)</f>
        <v>0</v>
      </c>
    </row>
    <row r="41" spans="2:35" ht="30" hidden="1" customHeight="1" x14ac:dyDescent="0.3">
      <c r="B41" s="29" t="s">
        <v>155</v>
      </c>
      <c r="C41" s="145" t="str">
        <f>+VLOOKUP(B41,Liste!B:E,2,FALSE)</f>
        <v>C16 Beton İmali ve Dökülmesi (Tünel ve Şaftlarda)</v>
      </c>
      <c r="D41" s="145"/>
      <c r="E41" s="145"/>
      <c r="F41" s="145"/>
      <c r="G41" s="145"/>
      <c r="H41" s="146"/>
      <c r="I41" s="47"/>
      <c r="J41" s="22" t="str">
        <f>+VLOOKUP(B41,Liste!B:E,3,FALSE)</f>
        <v>m³</v>
      </c>
      <c r="K41" s="22" t="s">
        <v>1061</v>
      </c>
      <c r="L41" s="114">
        <f t="shared" si="0"/>
        <v>0</v>
      </c>
      <c r="M41" s="90" t="str">
        <f>+IFERROR(VLOOKUP(B41,Metraj!B:P,15,FALSE),"0")</f>
        <v>0</v>
      </c>
      <c r="P41" s="96"/>
      <c r="Q41" s="96"/>
      <c r="R41" s="96"/>
      <c r="S41" s="96"/>
      <c r="T41" s="90"/>
      <c r="U41" s="90"/>
      <c r="V41" s="90"/>
      <c r="W41" s="90"/>
      <c r="X41" s="90">
        <v>0</v>
      </c>
      <c r="Y41" s="90"/>
      <c r="Z41" s="90">
        <v>0</v>
      </c>
      <c r="AA41" s="90">
        <f>$M41-SUM($P41:Z41)</f>
        <v>0</v>
      </c>
      <c r="AB41" s="90">
        <f>$M41-SUM($P41:AA41)</f>
        <v>0</v>
      </c>
      <c r="AC41" s="90">
        <f>$M41-SUM($P41:AB41)</f>
        <v>0</v>
      </c>
      <c r="AD41" s="90">
        <f>$M41-SUM($P41:AC41)</f>
        <v>0</v>
      </c>
      <c r="AE41" s="90">
        <f>$M41-SUM($P41:AD41)</f>
        <v>0</v>
      </c>
      <c r="AF41" s="90">
        <f>$M41-SUM($P41:AE41)</f>
        <v>0</v>
      </c>
      <c r="AG41" s="90">
        <f>$M41-SUM($P41:AF41)</f>
        <v>0</v>
      </c>
      <c r="AH41" s="90">
        <f>$M41-SUM($P41:AG41)</f>
        <v>0</v>
      </c>
      <c r="AI41" s="90">
        <f>$M41-SUM($P41:AH41)</f>
        <v>0</v>
      </c>
    </row>
    <row r="42" spans="2:35" ht="30" hidden="1" customHeight="1" x14ac:dyDescent="0.3">
      <c r="B42" s="29" t="s">
        <v>157</v>
      </c>
      <c r="C42" s="145" t="str">
        <f>+VLOOKUP(B42,Liste!B:E,2,FALSE)</f>
        <v>C30 Beton İmali ve Dökülmesi (Tünel ve Şaftlarda) Tünel kaplaması, invert ve şaftlardaki alt döşeme</v>
      </c>
      <c r="D42" s="145"/>
      <c r="E42" s="145"/>
      <c r="F42" s="145"/>
      <c r="G42" s="145"/>
      <c r="H42" s="146"/>
      <c r="I42" s="47"/>
      <c r="J42" s="22" t="str">
        <f>+VLOOKUP(B42,Liste!B:E,3,FALSE)</f>
        <v>m³</v>
      </c>
      <c r="K42" s="22" t="s">
        <v>1061</v>
      </c>
      <c r="L42" s="114">
        <f t="shared" si="0"/>
        <v>0</v>
      </c>
      <c r="M42" s="90" t="str">
        <f>+IFERROR(VLOOKUP(B42,Metraj!B:P,15,FALSE),"0")</f>
        <v>0</v>
      </c>
      <c r="P42" s="96"/>
      <c r="Q42" s="96"/>
      <c r="R42" s="96"/>
      <c r="S42" s="96"/>
      <c r="T42" s="90"/>
      <c r="U42" s="90"/>
      <c r="V42" s="90"/>
      <c r="W42" s="90"/>
      <c r="X42" s="90">
        <v>0</v>
      </c>
      <c r="Y42" s="90"/>
      <c r="Z42" s="90">
        <v>0</v>
      </c>
      <c r="AA42" s="90">
        <f>$M42-SUM($P42:Z42)</f>
        <v>0</v>
      </c>
      <c r="AB42" s="90">
        <f>$M42-SUM($P42:AA42)</f>
        <v>0</v>
      </c>
      <c r="AC42" s="90">
        <f>$M42-SUM($P42:AB42)</f>
        <v>0</v>
      </c>
      <c r="AD42" s="90">
        <f>$M42-SUM($P42:AC42)</f>
        <v>0</v>
      </c>
      <c r="AE42" s="90">
        <f>$M42-SUM($P42:AD42)</f>
        <v>0</v>
      </c>
      <c r="AF42" s="90">
        <f>$M42-SUM($P42:AE42)</f>
        <v>0</v>
      </c>
      <c r="AG42" s="90">
        <f>$M42-SUM($P42:AF42)</f>
        <v>0</v>
      </c>
      <c r="AH42" s="90">
        <f>$M42-SUM($P42:AG42)</f>
        <v>0</v>
      </c>
      <c r="AI42" s="90">
        <f>$M42-SUM($P42:AH42)</f>
        <v>0</v>
      </c>
    </row>
    <row r="43" spans="2:35" ht="30" hidden="1" customHeight="1" x14ac:dyDescent="0.3">
      <c r="B43" s="29" t="s">
        <v>159</v>
      </c>
      <c r="C43" s="145" t="str">
        <f>+VLOOKUP(B43,Liste!B:E,2,FALSE)</f>
        <v>C30 Beton İmali ve Dökülmesi (Tünel ve Şaftlarda) Yan duvarlar, kemer</v>
      </c>
      <c r="D43" s="145"/>
      <c r="E43" s="145"/>
      <c r="F43" s="145"/>
      <c r="G43" s="145"/>
      <c r="H43" s="146"/>
      <c r="I43" s="47"/>
      <c r="J43" s="22" t="str">
        <f>+VLOOKUP(B43,Liste!B:E,3,FALSE)</f>
        <v>m³</v>
      </c>
      <c r="K43" s="22" t="s">
        <v>1061</v>
      </c>
      <c r="L43" s="114">
        <f t="shared" si="0"/>
        <v>0</v>
      </c>
      <c r="M43" s="90" t="str">
        <f>+IFERROR(VLOOKUP(B43,Metraj!B:P,15,FALSE),"0")</f>
        <v>0</v>
      </c>
      <c r="P43" s="96"/>
      <c r="Q43" s="96"/>
      <c r="R43" s="96"/>
      <c r="S43" s="96"/>
      <c r="T43" s="90"/>
      <c r="U43" s="90"/>
      <c r="V43" s="90"/>
      <c r="W43" s="90"/>
      <c r="X43" s="90">
        <v>0</v>
      </c>
      <c r="Y43" s="90"/>
      <c r="Z43" s="90">
        <v>0</v>
      </c>
      <c r="AA43" s="90">
        <f>$M43-SUM($P43:Z43)</f>
        <v>0</v>
      </c>
      <c r="AB43" s="90">
        <f>$M43-SUM($P43:AA43)</f>
        <v>0</v>
      </c>
      <c r="AC43" s="90">
        <f>$M43-SUM($P43:AB43)</f>
        <v>0</v>
      </c>
      <c r="AD43" s="90">
        <f>$M43-SUM($P43:AC43)</f>
        <v>0</v>
      </c>
      <c r="AE43" s="90">
        <f>$M43-SUM($P43:AD43)</f>
        <v>0</v>
      </c>
      <c r="AF43" s="90">
        <f>$M43-SUM($P43:AE43)</f>
        <v>0</v>
      </c>
      <c r="AG43" s="90">
        <f>$M43-SUM($P43:AF43)</f>
        <v>0</v>
      </c>
      <c r="AH43" s="90">
        <f>$M43-SUM($P43:AG43)</f>
        <v>0</v>
      </c>
      <c r="AI43" s="90">
        <f>$M43-SUM($P43:AH43)</f>
        <v>0</v>
      </c>
    </row>
    <row r="44" spans="2:35" ht="30" hidden="1" customHeight="1" x14ac:dyDescent="0.3">
      <c r="B44" s="29" t="s">
        <v>161</v>
      </c>
      <c r="C44" s="145" t="str">
        <f>+VLOOKUP(B44,Liste!B:E,2,FALSE)</f>
        <v>Diğer Kesit Dışındaki Yapıların Betonu C30</v>
      </c>
      <c r="D44" s="145"/>
      <c r="E44" s="145"/>
      <c r="F44" s="145"/>
      <c r="G44" s="145"/>
      <c r="H44" s="146"/>
      <c r="I44" s="47"/>
      <c r="J44" s="22" t="str">
        <f>+VLOOKUP(B44,Liste!B:E,3,FALSE)</f>
        <v>m³</v>
      </c>
      <c r="K44" s="22" t="s">
        <v>1061</v>
      </c>
      <c r="L44" s="114">
        <f t="shared" si="0"/>
        <v>0</v>
      </c>
      <c r="M44" s="90" t="str">
        <f>+IFERROR(VLOOKUP(B44,Metraj!B:P,15,FALSE),"0")</f>
        <v>0</v>
      </c>
      <c r="P44" s="96"/>
      <c r="Q44" s="96"/>
      <c r="R44" s="96"/>
      <c r="S44" s="96"/>
      <c r="T44" s="90"/>
      <c r="U44" s="90"/>
      <c r="V44" s="90"/>
      <c r="W44" s="90"/>
      <c r="X44" s="90">
        <v>0</v>
      </c>
      <c r="Y44" s="90"/>
      <c r="Z44" s="90">
        <v>0</v>
      </c>
      <c r="AA44" s="90">
        <f>$M44-SUM($P44:Z44)</f>
        <v>0</v>
      </c>
      <c r="AB44" s="90">
        <f>$M44-SUM($P44:AA44)</f>
        <v>0</v>
      </c>
      <c r="AC44" s="90">
        <f>$M44-SUM($P44:AB44)</f>
        <v>0</v>
      </c>
      <c r="AD44" s="90">
        <f>$M44-SUM($P44:AC44)</f>
        <v>0</v>
      </c>
      <c r="AE44" s="90">
        <f>$M44-SUM($P44:AD44)</f>
        <v>0</v>
      </c>
      <c r="AF44" s="90">
        <f>$M44-SUM($P44:AE44)</f>
        <v>0</v>
      </c>
      <c r="AG44" s="90">
        <f>$M44-SUM($P44:AF44)</f>
        <v>0</v>
      </c>
      <c r="AH44" s="90">
        <f>$M44-SUM($P44:AG44)</f>
        <v>0</v>
      </c>
      <c r="AI44" s="90">
        <f>$M44-SUM($P44:AH44)</f>
        <v>0</v>
      </c>
    </row>
    <row r="45" spans="2:35" ht="30" customHeight="1" x14ac:dyDescent="0.3">
      <c r="B45" s="29" t="s">
        <v>163</v>
      </c>
      <c r="C45" s="145" t="str">
        <f>+VLOOKUP(B45,Liste!B:E,2,FALSE)</f>
        <v>Çelik Donatı (S220 )</v>
      </c>
      <c r="D45" s="145"/>
      <c r="E45" s="145"/>
      <c r="F45" s="145"/>
      <c r="G45" s="145"/>
      <c r="H45" s="146"/>
      <c r="I45" s="47"/>
      <c r="J45" s="22" t="str">
        <f>+VLOOKUP(B45,Liste!B:E,3,FALSE)</f>
        <v>ton</v>
      </c>
      <c r="K45" s="22">
        <v>8.6999999999999994E-2</v>
      </c>
      <c r="L45" s="114">
        <f t="shared" si="0"/>
        <v>0</v>
      </c>
      <c r="M45" s="90">
        <f>+IFERROR(VLOOKUP(B45,Metraj!B:P,15,FALSE),"0")</f>
        <v>8.6999999999999994E-2</v>
      </c>
      <c r="P45" s="96"/>
      <c r="Q45" s="96"/>
      <c r="R45" s="96"/>
      <c r="S45" s="96"/>
      <c r="T45" s="90"/>
      <c r="U45" s="90"/>
      <c r="V45" s="90"/>
      <c r="W45" s="90"/>
      <c r="X45" s="90">
        <v>0</v>
      </c>
      <c r="Y45" s="90"/>
      <c r="Z45" s="90">
        <v>8.6999999999999994E-2</v>
      </c>
      <c r="AA45" s="90">
        <f>$M45-SUM($P45:Z45)</f>
        <v>0</v>
      </c>
      <c r="AB45" s="90">
        <f>$M45-SUM($P45:AA45)</f>
        <v>0</v>
      </c>
      <c r="AC45" s="90">
        <f>$M45-SUM($P45:AB45)</f>
        <v>0</v>
      </c>
      <c r="AD45" s="90">
        <f>$M45-SUM($P45:AC45)</f>
        <v>0</v>
      </c>
      <c r="AE45" s="90">
        <f>$M45-SUM($P45:AD45)</f>
        <v>0</v>
      </c>
      <c r="AF45" s="90">
        <f>$M45-SUM($P45:AE45)</f>
        <v>0</v>
      </c>
      <c r="AG45" s="90">
        <f>$M45-SUM($P45:AF45)</f>
        <v>0</v>
      </c>
      <c r="AH45" s="90">
        <f>$M45-SUM($P45:AG45)</f>
        <v>0</v>
      </c>
      <c r="AI45" s="90">
        <f>$M45-SUM($P45:AH45)</f>
        <v>0</v>
      </c>
    </row>
    <row r="46" spans="2:35" ht="30" hidden="1" customHeight="1" x14ac:dyDescent="0.3">
      <c r="B46" s="29" t="s">
        <v>165</v>
      </c>
      <c r="C46" s="145" t="str">
        <f>+VLOOKUP(B46,Liste!B:E,2,FALSE)</f>
        <v>Çelik Donatı (S420a )</v>
      </c>
      <c r="D46" s="145"/>
      <c r="E46" s="145"/>
      <c r="F46" s="145"/>
      <c r="G46" s="145"/>
      <c r="H46" s="146"/>
      <c r="I46" s="47"/>
      <c r="J46" s="22" t="str">
        <f>+VLOOKUP(B46,Liste!B:E,3,FALSE)</f>
        <v>ton</v>
      </c>
      <c r="K46" s="22">
        <v>0</v>
      </c>
      <c r="L46" s="114">
        <f t="shared" si="0"/>
        <v>0</v>
      </c>
      <c r="M46" s="90">
        <f>+IFERROR(VLOOKUP(B46,Metraj!B:P,15,FALSE),"0")</f>
        <v>0</v>
      </c>
      <c r="P46" s="96"/>
      <c r="Q46" s="96"/>
      <c r="R46" s="96"/>
      <c r="S46" s="96"/>
      <c r="T46" s="90"/>
      <c r="U46" s="90"/>
      <c r="V46" s="90"/>
      <c r="W46" s="90"/>
      <c r="X46" s="90">
        <v>0</v>
      </c>
      <c r="Y46" s="90"/>
      <c r="Z46" s="90">
        <v>0</v>
      </c>
      <c r="AA46" s="90">
        <f>$M46-SUM($P46:Z46)</f>
        <v>0</v>
      </c>
      <c r="AB46" s="90">
        <f>$M46-SUM($P46:AA46)</f>
        <v>0</v>
      </c>
      <c r="AC46" s="90">
        <f>$M46-SUM($P46:AB46)</f>
        <v>0</v>
      </c>
      <c r="AD46" s="90">
        <f>$M46-SUM($P46:AC46)</f>
        <v>0</v>
      </c>
      <c r="AE46" s="90">
        <f>$M46-SUM($P46:AD46)</f>
        <v>0</v>
      </c>
      <c r="AF46" s="90">
        <f>$M46-SUM($P46:AE46)</f>
        <v>0</v>
      </c>
      <c r="AG46" s="90">
        <f>$M46-SUM($P46:AF46)</f>
        <v>0</v>
      </c>
      <c r="AH46" s="90">
        <f>$M46-SUM($P46:AG46)</f>
        <v>0</v>
      </c>
      <c r="AI46" s="90">
        <f>$M46-SUM($P46:AH46)</f>
        <v>0</v>
      </c>
    </row>
    <row r="47" spans="2:35" ht="30" customHeight="1" x14ac:dyDescent="0.3">
      <c r="B47" s="29" t="s">
        <v>167</v>
      </c>
      <c r="C47" s="145" t="str">
        <f>+VLOOKUP(B47,Liste!B:E,2,FALSE)</f>
        <v>Çelik hasır (S500 )</v>
      </c>
      <c r="D47" s="145"/>
      <c r="E47" s="145"/>
      <c r="F47" s="145"/>
      <c r="G47" s="145"/>
      <c r="H47" s="146"/>
      <c r="I47" s="47"/>
      <c r="J47" s="22" t="str">
        <f>+VLOOKUP(B47,Liste!B:E,3,FALSE)</f>
        <v>ton</v>
      </c>
      <c r="K47" s="22">
        <v>0.97</v>
      </c>
      <c r="L47" s="114">
        <f t="shared" si="0"/>
        <v>0</v>
      </c>
      <c r="M47" s="90">
        <f>+IFERROR(VLOOKUP(B47,Metraj!B:P,15,FALSE),"0")</f>
        <v>0.97</v>
      </c>
      <c r="O47" s="98"/>
      <c r="P47" s="96"/>
      <c r="Q47" s="96"/>
      <c r="R47" s="96"/>
      <c r="S47" s="96"/>
      <c r="T47" s="90"/>
      <c r="U47" s="90"/>
      <c r="V47" s="90"/>
      <c r="W47" s="90"/>
      <c r="X47" s="90">
        <v>0</v>
      </c>
      <c r="Y47" s="90"/>
      <c r="Z47" s="90">
        <v>0.97</v>
      </c>
      <c r="AA47" s="90">
        <f>$M47-SUM($P47:Z47)</f>
        <v>0</v>
      </c>
      <c r="AB47" s="90">
        <f>$M47-SUM($P47:AA47)</f>
        <v>0</v>
      </c>
      <c r="AC47" s="90">
        <f>$M47-SUM($P47:AB47)</f>
        <v>0</v>
      </c>
      <c r="AD47" s="90">
        <f>$M47-SUM($P47:AC47)</f>
        <v>0</v>
      </c>
      <c r="AE47" s="90">
        <f>$M47-SUM($P47:AD47)</f>
        <v>0</v>
      </c>
      <c r="AF47" s="90">
        <f>$M47-SUM($P47:AE47)</f>
        <v>0</v>
      </c>
      <c r="AG47" s="90">
        <f>$M47-SUM($P47:AF47)</f>
        <v>0</v>
      </c>
      <c r="AH47" s="90">
        <f>$M47-SUM($P47:AG47)</f>
        <v>0</v>
      </c>
      <c r="AI47" s="90">
        <f>$M47-SUM($P47:AH47)</f>
        <v>0</v>
      </c>
    </row>
    <row r="48" spans="2:35" ht="30" hidden="1" customHeight="1" x14ac:dyDescent="0.3">
      <c r="B48" s="29" t="s">
        <v>169</v>
      </c>
      <c r="C48" s="145" t="str">
        <f>+VLOOKUP(B48,Liste!B:E,2,FALSE)</f>
        <v>Paslanmaz Çelik Plaka</v>
      </c>
      <c r="D48" s="145"/>
      <c r="E48" s="145"/>
      <c r="F48" s="145"/>
      <c r="G48" s="145"/>
      <c r="H48" s="146"/>
      <c r="I48" s="47"/>
      <c r="J48" s="22" t="str">
        <f>+VLOOKUP(B48,Liste!B:E,3,FALSE)</f>
        <v>kg</v>
      </c>
      <c r="K48" s="22" t="s">
        <v>1061</v>
      </c>
      <c r="L48" s="114">
        <f t="shared" si="0"/>
        <v>0</v>
      </c>
      <c r="M48" s="90" t="str">
        <f>+IFERROR(VLOOKUP(B48,Metraj!B:P,15,FALSE),"0")</f>
        <v>0</v>
      </c>
      <c r="P48" s="96"/>
      <c r="Q48" s="96"/>
      <c r="R48" s="96"/>
      <c r="S48" s="96"/>
      <c r="T48" s="90"/>
      <c r="U48" s="90"/>
      <c r="V48" s="90"/>
      <c r="W48" s="90"/>
      <c r="X48" s="90">
        <v>0</v>
      </c>
      <c r="Y48" s="90"/>
      <c r="Z48" s="90">
        <v>0</v>
      </c>
      <c r="AA48" s="90">
        <f>$M48-SUM($P48:Z48)</f>
        <v>0</v>
      </c>
      <c r="AB48" s="90">
        <f>$M48-SUM($P48:AA48)</f>
        <v>0</v>
      </c>
      <c r="AC48" s="90">
        <f>$M48-SUM($P48:AB48)</f>
        <v>0</v>
      </c>
      <c r="AD48" s="90">
        <f>$M48-SUM($P48:AC48)</f>
        <v>0</v>
      </c>
      <c r="AE48" s="90">
        <f>$M48-SUM($P48:AD48)</f>
        <v>0</v>
      </c>
      <c r="AF48" s="90">
        <f>$M48-SUM($P48:AE48)</f>
        <v>0</v>
      </c>
      <c r="AG48" s="90">
        <f>$M48-SUM($P48:AF48)</f>
        <v>0</v>
      </c>
      <c r="AH48" s="90">
        <f>$M48-SUM($P48:AG48)</f>
        <v>0</v>
      </c>
      <c r="AI48" s="90">
        <f>$M48-SUM($P48:AH48)</f>
        <v>0</v>
      </c>
    </row>
    <row r="49" spans="2:35" ht="30" hidden="1" customHeight="1" x14ac:dyDescent="0.3">
      <c r="B49" s="29" t="s">
        <v>172</v>
      </c>
      <c r="C49" s="145" t="str">
        <f>+VLOOKUP(B49,Liste!B:E,2,FALSE)</f>
        <v>Block-out Kutusu</v>
      </c>
      <c r="D49" s="145"/>
      <c r="E49" s="145"/>
      <c r="F49" s="145"/>
      <c r="G49" s="145"/>
      <c r="H49" s="146"/>
      <c r="I49" s="47"/>
      <c r="J49" s="22" t="str">
        <f>+VLOOKUP(B49,Liste!B:E,3,FALSE)</f>
        <v>kg</v>
      </c>
      <c r="K49" s="22" t="s">
        <v>1061</v>
      </c>
      <c r="L49" s="114">
        <f t="shared" si="0"/>
        <v>0</v>
      </c>
      <c r="M49" s="90" t="str">
        <f>+IFERROR(VLOOKUP(B49,Metraj!B:P,15,FALSE),"0")</f>
        <v>0</v>
      </c>
      <c r="P49" s="96"/>
      <c r="Q49" s="96"/>
      <c r="R49" s="96"/>
      <c r="S49" s="96"/>
      <c r="T49" s="90"/>
      <c r="U49" s="90"/>
      <c r="V49" s="90"/>
      <c r="W49" s="90"/>
      <c r="X49" s="90">
        <v>0</v>
      </c>
      <c r="Y49" s="90"/>
      <c r="Z49" s="90">
        <v>0</v>
      </c>
      <c r="AA49" s="90">
        <f>$M49-SUM($P49:Z49)</f>
        <v>0</v>
      </c>
      <c r="AB49" s="90">
        <f>$M49-SUM($P49:AA49)</f>
        <v>0</v>
      </c>
      <c r="AC49" s="90">
        <f>$M49-SUM($P49:AB49)</f>
        <v>0</v>
      </c>
      <c r="AD49" s="90">
        <f>$M49-SUM($P49:AC49)</f>
        <v>0</v>
      </c>
      <c r="AE49" s="90">
        <f>$M49-SUM($P49:AD49)</f>
        <v>0</v>
      </c>
      <c r="AF49" s="90">
        <f>$M49-SUM($P49:AE49)</f>
        <v>0</v>
      </c>
      <c r="AG49" s="90">
        <f>$M49-SUM($P49:AF49)</f>
        <v>0</v>
      </c>
      <c r="AH49" s="90">
        <f>$M49-SUM($P49:AG49)</f>
        <v>0</v>
      </c>
      <c r="AI49" s="90">
        <f>$M49-SUM($P49:AH49)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47"/>
      <c r="C56" s="147"/>
      <c r="D56" s="147"/>
      <c r="E56" s="149"/>
      <c r="F56" s="149"/>
      <c r="G56" s="149"/>
      <c r="H56" s="147"/>
      <c r="I56" s="147"/>
      <c r="J56" s="147"/>
      <c r="K56" s="147"/>
      <c r="L56" s="147"/>
      <c r="M56" s="147"/>
    </row>
    <row r="57" spans="2:35" ht="15" customHeight="1" x14ac:dyDescent="0.3">
      <c r="B57" s="142"/>
      <c r="C57" s="142"/>
      <c r="D57" s="142"/>
      <c r="E57" s="150"/>
      <c r="F57" s="150"/>
      <c r="G57" s="150"/>
      <c r="H57" s="150"/>
      <c r="I57" s="150"/>
      <c r="J57" s="150"/>
      <c r="K57" s="150"/>
      <c r="L57" s="150"/>
      <c r="M57" s="150"/>
    </row>
    <row r="58" spans="2:35" ht="15" customHeight="1" x14ac:dyDescent="0.3">
      <c r="B58" s="30"/>
      <c r="C58" s="30"/>
      <c r="D58" s="31"/>
      <c r="E58" s="31"/>
      <c r="F58" s="31"/>
      <c r="G58" s="32"/>
      <c r="H58" s="150"/>
      <c r="I58" s="150"/>
      <c r="J58" s="150"/>
      <c r="K58" s="150"/>
      <c r="L58" s="150"/>
      <c r="M58" s="150"/>
    </row>
    <row r="59" spans="2:35" ht="15" customHeight="1" x14ac:dyDescent="0.3">
      <c r="H59" s="150"/>
      <c r="I59" s="150"/>
      <c r="J59" s="150"/>
      <c r="K59" s="150"/>
      <c r="L59" s="150"/>
      <c r="M59" s="150"/>
    </row>
    <row r="67" spans="2:13" ht="15" customHeight="1" x14ac:dyDescent="0.3"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</row>
    <row r="68" spans="2:13" ht="15" customHeight="1" x14ac:dyDescent="0.3"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2">
      <filters>
        <filter val="0,087"/>
        <filter val="0,970"/>
        <filter val="21,932"/>
        <filter val="4,383"/>
        <filter val="44,000"/>
        <filter val="83,764"/>
      </filters>
    </filterColumn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2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08"/>
  <sheetViews>
    <sheetView tabSelected="1" view="pageBreakPreview" topLeftCell="A100" zoomScale="85" zoomScaleNormal="100" zoomScaleSheetLayoutView="85" workbookViewId="0">
      <selection activeCell="C17" sqref="C17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29" width="11.77734375" style="9" bestFit="1" customWidth="1"/>
    <col min="30" max="30" width="8.88671875" style="9"/>
    <col min="31" max="31" width="11.77734375" style="9" bestFit="1" customWidth="1"/>
    <col min="32" max="16384" width="8.88671875" style="9"/>
  </cols>
  <sheetData>
    <row r="1" spans="1:31" ht="15" customHeight="1" x14ac:dyDescent="0.3">
      <c r="AC1" s="9" t="s">
        <v>1052</v>
      </c>
      <c r="AD1" s="9" t="s">
        <v>1053</v>
      </c>
      <c r="AE1" s="9" t="s">
        <v>1054</v>
      </c>
    </row>
    <row r="2" spans="1:31" s="10" customFormat="1" ht="15" customHeight="1" x14ac:dyDescent="0.3">
      <c r="A2" s="135" t="s">
        <v>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AC2" s="10">
        <f>+SUM(AC17:AC1000)</f>
        <v>1922910.348</v>
      </c>
      <c r="AD2" s="10">
        <f>+SUM(AD17:AD1000)</f>
        <v>616000</v>
      </c>
      <c r="AE2" s="10">
        <f>+SUM(AE17:AE1000)</f>
        <v>2538910.3479999998</v>
      </c>
    </row>
    <row r="3" spans="1:31" s="10" customFormat="1" ht="15" customHeight="1" x14ac:dyDescent="0.3">
      <c r="A3" s="135" t="s">
        <v>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</row>
    <row r="4" spans="1:31" s="10" customFormat="1" ht="15" customHeight="1" x14ac:dyDescent="0.3">
      <c r="A4" s="135" t="s">
        <v>1007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31" s="10" customFormat="1" ht="15" customHeight="1" x14ac:dyDescent="0.3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31" s="10" customFormat="1" ht="15" customHeight="1" x14ac:dyDescent="0.3">
      <c r="A6" s="116"/>
      <c r="B6" s="116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31" s="10" customFormat="1" ht="15" customHeight="1" x14ac:dyDescent="0.3">
      <c r="A7" s="135" t="s">
        <v>2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31" s="10" customFormat="1" ht="15" customHeight="1" x14ac:dyDescent="0.3">
      <c r="A8" s="116"/>
      <c r="B8" s="116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31" ht="15" customHeight="1" x14ac:dyDescent="0.3">
      <c r="A9" s="135" t="str">
        <f>+Kapak!A28</f>
        <v>Metraj - 1.B - S06 - Barbaros-Hat-1-B1 Bağlantı-1 P2 Yönü Alt Yarı Aşaması (B1-106)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</row>
    <row r="10" spans="1:31" ht="1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31" ht="15" customHeight="1" x14ac:dyDescent="0.3">
      <c r="A11" s="135" t="s">
        <v>983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</row>
    <row r="13" spans="1:31" ht="15" customHeight="1" x14ac:dyDescent="0.3">
      <c r="B13" s="14" t="s">
        <v>5</v>
      </c>
      <c r="C13" s="94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5">
        <f>+İcmal!C16</f>
        <v>46142</v>
      </c>
      <c r="D14" s="136"/>
      <c r="E14" s="136"/>
      <c r="F14" s="13"/>
      <c r="G14" s="13"/>
      <c r="H14" s="11"/>
      <c r="I14" s="11"/>
      <c r="J14" s="11"/>
    </row>
    <row r="16" spans="1:31" ht="30" customHeight="1" x14ac:dyDescent="0.3">
      <c r="B16" s="129" t="s">
        <v>7</v>
      </c>
      <c r="C16" s="131"/>
      <c r="D16" s="129" t="s">
        <v>8</v>
      </c>
      <c r="E16" s="130"/>
      <c r="F16" s="130"/>
      <c r="G16" s="130"/>
      <c r="H16" s="130"/>
      <c r="I16" s="130"/>
      <c r="J16" s="130"/>
      <c r="K16" s="130"/>
      <c r="L16" s="130"/>
      <c r="M16" s="34" t="s">
        <v>9</v>
      </c>
      <c r="N16" s="109" t="s">
        <v>1038</v>
      </c>
      <c r="O16" s="109" t="s">
        <v>1039</v>
      </c>
      <c r="P16" s="35" t="s">
        <v>1040</v>
      </c>
    </row>
    <row r="17" spans="2:31" ht="30" customHeight="1" x14ac:dyDescent="0.3">
      <c r="B17" s="133" t="s">
        <v>120</v>
      </c>
      <c r="C17" s="134"/>
      <c r="D17" s="124" t="str">
        <f>+VLOOKUP(B17,[1]Liste!B:E,2,FALSE)</f>
        <v>Geleneksel (NATM) Tünel Kazısı</v>
      </c>
      <c r="E17" s="125"/>
      <c r="F17" s="125"/>
      <c r="G17" s="125"/>
      <c r="H17" s="125"/>
      <c r="I17" s="125"/>
      <c r="J17" s="125"/>
      <c r="K17" s="125"/>
      <c r="L17" s="125"/>
      <c r="M17" s="36" t="str">
        <f>+VLOOKUP(B17,[1]Liste!B:E,3,FALSE)</f>
        <v>m³</v>
      </c>
      <c r="N17" s="67">
        <v>83.763999999999996</v>
      </c>
      <c r="O17" s="67">
        <f>+P17-N17</f>
        <v>0</v>
      </c>
      <c r="P17" s="67">
        <f>+ROUND(SUM(P18:P28),3)</f>
        <v>83.763999999999996</v>
      </c>
      <c r="AA17" s="9">
        <f>+VLOOKUP(B17,[2]Liste!$B$2:$F$483,5,FALSE)</f>
        <v>5075</v>
      </c>
      <c r="AC17" s="9">
        <f>+AA17*N17</f>
        <v>425102.3</v>
      </c>
      <c r="AD17" s="9">
        <f>+AA17*O17</f>
        <v>0</v>
      </c>
      <c r="AE17" s="9">
        <f>+AA17*P17</f>
        <v>425102.3</v>
      </c>
    </row>
    <row r="18" spans="2:31" ht="15" customHeight="1" x14ac:dyDescent="0.3">
      <c r="B18" s="56" t="s">
        <v>1044</v>
      </c>
      <c r="C18" s="93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990</v>
      </c>
      <c r="D19" s="57" t="s">
        <v>989</v>
      </c>
      <c r="E19" s="57"/>
      <c r="F19" s="57"/>
      <c r="G19" s="57"/>
      <c r="H19" s="39" t="s">
        <v>987</v>
      </c>
      <c r="I19" s="39" t="s">
        <v>986</v>
      </c>
      <c r="J19" s="39" t="s">
        <v>991</v>
      </c>
      <c r="K19" s="39" t="s">
        <v>988</v>
      </c>
      <c r="L19" s="40" t="s">
        <v>985</v>
      </c>
      <c r="M19" s="108" t="s">
        <v>13</v>
      </c>
      <c r="N19" s="107"/>
      <c r="O19" s="40" t="s">
        <v>984</v>
      </c>
      <c r="P19" s="40" t="s">
        <v>15</v>
      </c>
    </row>
    <row r="20" spans="2:31" ht="15" customHeight="1" x14ac:dyDescent="0.3">
      <c r="B20" s="37">
        <v>5</v>
      </c>
      <c r="C20" s="48" t="s">
        <v>1048</v>
      </c>
      <c r="D20" s="58" t="s">
        <v>1049</v>
      </c>
      <c r="E20" s="58"/>
      <c r="F20" s="58"/>
      <c r="G20" s="58"/>
      <c r="H20" s="49">
        <v>5.41</v>
      </c>
      <c r="I20" s="49">
        <v>12.41</v>
      </c>
      <c r="J20" s="62" t="s">
        <v>1043</v>
      </c>
      <c r="K20" s="63">
        <v>1</v>
      </c>
      <c r="L20" s="82">
        <v>0.75</v>
      </c>
      <c r="M20" s="82" t="s">
        <v>1041</v>
      </c>
      <c r="N20" s="84"/>
      <c r="O20" s="89">
        <v>11.965999999999999</v>
      </c>
      <c r="P20" s="68">
        <f t="shared" ref="P20:P27" si="0">+ROUND(PRODUCT(K20:O20),3)</f>
        <v>8.9749999999999996</v>
      </c>
      <c r="R20" s="9">
        <f>+L20*K20</f>
        <v>0.75</v>
      </c>
    </row>
    <row r="21" spans="2:31" ht="15" customHeight="1" x14ac:dyDescent="0.3">
      <c r="B21" s="37">
        <v>5</v>
      </c>
      <c r="C21" s="48" t="s">
        <v>1048</v>
      </c>
      <c r="D21" s="58" t="s">
        <v>1049</v>
      </c>
      <c r="E21" s="58"/>
      <c r="F21" s="58"/>
      <c r="G21" s="58"/>
      <c r="H21" s="49">
        <v>5.41</v>
      </c>
      <c r="I21" s="49">
        <v>12.41</v>
      </c>
      <c r="J21" s="62" t="s">
        <v>1043</v>
      </c>
      <c r="K21" s="63">
        <v>1</v>
      </c>
      <c r="L21" s="82">
        <v>0.75</v>
      </c>
      <c r="M21" s="82" t="s">
        <v>996</v>
      </c>
      <c r="N21" s="84"/>
      <c r="O21" s="89">
        <v>11.965999999999999</v>
      </c>
      <c r="P21" s="68">
        <f t="shared" si="0"/>
        <v>8.9749999999999996</v>
      </c>
      <c r="R21" s="9">
        <f t="shared" ref="R21:R27" si="1">+L21*K21</f>
        <v>0.75</v>
      </c>
    </row>
    <row r="22" spans="2:31" ht="15" customHeight="1" x14ac:dyDescent="0.3">
      <c r="B22" s="37">
        <v>5</v>
      </c>
      <c r="C22" s="48" t="s">
        <v>1048</v>
      </c>
      <c r="D22" s="58" t="s">
        <v>1049</v>
      </c>
      <c r="E22" s="58"/>
      <c r="F22" s="58"/>
      <c r="G22" s="58"/>
      <c r="H22" s="49">
        <v>5.41</v>
      </c>
      <c r="I22" s="49">
        <v>12.41</v>
      </c>
      <c r="J22" s="62" t="s">
        <v>1043</v>
      </c>
      <c r="K22" s="63">
        <v>1</v>
      </c>
      <c r="L22" s="82">
        <v>0.5</v>
      </c>
      <c r="M22" s="82" t="s">
        <v>997</v>
      </c>
      <c r="N22" s="84"/>
      <c r="O22" s="89">
        <v>11.965999999999999</v>
      </c>
      <c r="P22" s="68">
        <f t="shared" si="0"/>
        <v>5.9829999999999997</v>
      </c>
      <c r="R22" s="9">
        <f t="shared" si="1"/>
        <v>0.5</v>
      </c>
    </row>
    <row r="23" spans="2:31" ht="15" customHeight="1" x14ac:dyDescent="0.3">
      <c r="B23" s="37">
        <v>5</v>
      </c>
      <c r="C23" s="48" t="s">
        <v>1048</v>
      </c>
      <c r="D23" s="58" t="s">
        <v>1049</v>
      </c>
      <c r="E23" s="58"/>
      <c r="F23" s="58"/>
      <c r="G23" s="58"/>
      <c r="H23" s="49">
        <v>5.41</v>
      </c>
      <c r="I23" s="49">
        <v>12.41</v>
      </c>
      <c r="J23" s="62" t="s">
        <v>1043</v>
      </c>
      <c r="K23" s="63">
        <v>1</v>
      </c>
      <c r="L23" s="82">
        <v>0.75</v>
      </c>
      <c r="M23" s="82" t="s">
        <v>997</v>
      </c>
      <c r="N23" s="84"/>
      <c r="O23" s="89">
        <v>11.965999999999999</v>
      </c>
      <c r="P23" s="68">
        <f t="shared" si="0"/>
        <v>8.9749999999999996</v>
      </c>
      <c r="R23" s="9">
        <f t="shared" ref="R23" si="2">+L23*K23</f>
        <v>0.75</v>
      </c>
    </row>
    <row r="24" spans="2:31" ht="15" customHeight="1" x14ac:dyDescent="0.3">
      <c r="B24" s="37">
        <v>5</v>
      </c>
      <c r="C24" s="48" t="s">
        <v>1048</v>
      </c>
      <c r="D24" s="58" t="s">
        <v>1049</v>
      </c>
      <c r="E24" s="58"/>
      <c r="F24" s="58"/>
      <c r="G24" s="58"/>
      <c r="H24" s="49">
        <v>5.41</v>
      </c>
      <c r="I24" s="49">
        <v>12.41</v>
      </c>
      <c r="J24" s="62" t="s">
        <v>1043</v>
      </c>
      <c r="K24" s="63">
        <v>1</v>
      </c>
      <c r="L24" s="82">
        <v>0.5</v>
      </c>
      <c r="M24" s="82" t="s">
        <v>998</v>
      </c>
      <c r="N24" s="84"/>
      <c r="O24" s="89">
        <v>11.965999999999999</v>
      </c>
      <c r="P24" s="68">
        <f t="shared" si="0"/>
        <v>5.9829999999999997</v>
      </c>
      <c r="R24" s="9">
        <f t="shared" si="1"/>
        <v>0.5</v>
      </c>
    </row>
    <row r="25" spans="2:31" ht="15" customHeight="1" x14ac:dyDescent="0.3">
      <c r="B25" s="37">
        <v>5</v>
      </c>
      <c r="C25" s="48" t="s">
        <v>1048</v>
      </c>
      <c r="D25" s="58" t="s">
        <v>1049</v>
      </c>
      <c r="E25" s="58"/>
      <c r="F25" s="58"/>
      <c r="G25" s="58"/>
      <c r="H25" s="49">
        <v>5.41</v>
      </c>
      <c r="I25" s="49">
        <v>12.41</v>
      </c>
      <c r="J25" s="62" t="s">
        <v>1043</v>
      </c>
      <c r="K25" s="63">
        <v>1</v>
      </c>
      <c r="L25" s="82">
        <v>0.75</v>
      </c>
      <c r="M25" s="82" t="s">
        <v>998</v>
      </c>
      <c r="N25" s="84"/>
      <c r="O25" s="89">
        <v>11.965999999999999</v>
      </c>
      <c r="P25" s="68">
        <f t="shared" si="0"/>
        <v>8.9749999999999996</v>
      </c>
      <c r="R25" s="9">
        <f t="shared" si="1"/>
        <v>0.75</v>
      </c>
    </row>
    <row r="26" spans="2:31" ht="15" customHeight="1" x14ac:dyDescent="0.3">
      <c r="B26" s="37">
        <v>5</v>
      </c>
      <c r="C26" s="48" t="s">
        <v>1048</v>
      </c>
      <c r="D26" s="58" t="s">
        <v>1049</v>
      </c>
      <c r="E26" s="58"/>
      <c r="F26" s="58"/>
      <c r="G26" s="58"/>
      <c r="H26" s="49">
        <v>5.41</v>
      </c>
      <c r="I26" s="49">
        <v>12.41</v>
      </c>
      <c r="J26" s="62" t="s">
        <v>1043</v>
      </c>
      <c r="K26" s="63">
        <v>2</v>
      </c>
      <c r="L26" s="82">
        <v>0.75</v>
      </c>
      <c r="M26" s="82" t="s">
        <v>999</v>
      </c>
      <c r="N26" s="84"/>
      <c r="O26" s="89">
        <v>11.965999999999999</v>
      </c>
      <c r="P26" s="68">
        <f t="shared" si="0"/>
        <v>17.949000000000002</v>
      </c>
      <c r="R26" s="9">
        <f t="shared" si="1"/>
        <v>1.5</v>
      </c>
    </row>
    <row r="27" spans="2:31" ht="15" customHeight="1" x14ac:dyDescent="0.3">
      <c r="B27" s="37">
        <v>5</v>
      </c>
      <c r="C27" s="48" t="s">
        <v>1048</v>
      </c>
      <c r="D27" s="58" t="s">
        <v>1049</v>
      </c>
      <c r="E27" s="58"/>
      <c r="F27" s="58"/>
      <c r="G27" s="58"/>
      <c r="H27" s="49">
        <v>5.41</v>
      </c>
      <c r="I27" s="49">
        <v>12.41</v>
      </c>
      <c r="J27" s="49" t="s">
        <v>1043</v>
      </c>
      <c r="K27" s="63">
        <v>2</v>
      </c>
      <c r="L27" s="82">
        <v>0.75</v>
      </c>
      <c r="M27" s="82" t="s">
        <v>1000</v>
      </c>
      <c r="N27" s="84"/>
      <c r="O27" s="89">
        <v>11.965999999999999</v>
      </c>
      <c r="P27" s="68">
        <f t="shared" si="0"/>
        <v>17.949000000000002</v>
      </c>
      <c r="R27" s="9">
        <f t="shared" si="1"/>
        <v>1.5</v>
      </c>
    </row>
    <row r="28" spans="2:31" ht="4.95" customHeight="1" x14ac:dyDescent="0.3">
      <c r="B28" s="41"/>
      <c r="C28" s="44"/>
      <c r="D28" s="42"/>
      <c r="E28" s="42"/>
      <c r="F28" s="42"/>
      <c r="G28" s="42"/>
      <c r="H28" s="43"/>
      <c r="I28" s="43"/>
      <c r="J28" s="43"/>
      <c r="K28" s="43"/>
      <c r="L28" s="43"/>
      <c r="M28" s="43"/>
      <c r="N28" s="43"/>
      <c r="O28" s="44"/>
      <c r="P28" s="45"/>
    </row>
    <row r="30" spans="2:31" ht="30" customHeight="1" x14ac:dyDescent="0.3">
      <c r="B30" s="129" t="s">
        <v>7</v>
      </c>
      <c r="C30" s="131"/>
      <c r="D30" s="129" t="s">
        <v>8</v>
      </c>
      <c r="E30" s="130"/>
      <c r="F30" s="130"/>
      <c r="G30" s="130"/>
      <c r="H30" s="130"/>
      <c r="I30" s="130"/>
      <c r="J30" s="130"/>
      <c r="K30" s="130"/>
      <c r="L30" s="130"/>
      <c r="M30" s="34" t="s">
        <v>9</v>
      </c>
      <c r="N30" s="109" t="s">
        <v>1038</v>
      </c>
      <c r="O30" s="109" t="s">
        <v>1039</v>
      </c>
      <c r="P30" s="35" t="s">
        <v>1040</v>
      </c>
    </row>
    <row r="31" spans="2:31" ht="30" customHeight="1" x14ac:dyDescent="0.3">
      <c r="B31" s="133" t="s">
        <v>125</v>
      </c>
      <c r="C31" s="134"/>
      <c r="D31" s="124" t="str">
        <f>+VLOOKUP(B31,[1]Liste!B:E,2,FALSE)</f>
        <v>Püskürtme Beton (Tünel ve Şaftlarda)</v>
      </c>
      <c r="E31" s="125"/>
      <c r="F31" s="125"/>
      <c r="G31" s="125"/>
      <c r="H31" s="125"/>
      <c r="I31" s="125"/>
      <c r="J31" s="125"/>
      <c r="K31" s="125"/>
      <c r="L31" s="125"/>
      <c r="M31" s="36" t="str">
        <f>+VLOOKUP(B31,[1]Liste!B:E,3,FALSE)</f>
        <v>m³</v>
      </c>
      <c r="N31" s="67">
        <v>21.931999999999999</v>
      </c>
      <c r="O31" s="67">
        <f>+P31-N31</f>
        <v>0</v>
      </c>
      <c r="P31" s="67">
        <f>+ROUND(SUM(P32:P46),3)</f>
        <v>21.931999999999999</v>
      </c>
      <c r="AA31" s="9">
        <f>+VLOOKUP(B31,[2]Liste!$B$2:$F$483,5,FALSE)</f>
        <v>15334</v>
      </c>
      <c r="AC31" s="9">
        <f>+AA31*N31</f>
        <v>336305.288</v>
      </c>
      <c r="AD31" s="9">
        <f>+AA31*O31</f>
        <v>0</v>
      </c>
      <c r="AE31" s="9">
        <f>+AA31*P31</f>
        <v>336305.288</v>
      </c>
    </row>
    <row r="32" spans="2:31" ht="15" customHeight="1" x14ac:dyDescent="0.3">
      <c r="B32" s="56" t="s">
        <v>1044</v>
      </c>
      <c r="C32" s="93"/>
      <c r="D32" s="50"/>
      <c r="E32" s="50"/>
      <c r="F32" s="50"/>
      <c r="G32" s="50"/>
      <c r="H32" s="51"/>
      <c r="I32" s="51"/>
      <c r="J32" s="51"/>
      <c r="K32" s="52"/>
      <c r="L32" s="52"/>
      <c r="M32" s="53"/>
      <c r="N32" s="53"/>
      <c r="O32" s="54"/>
      <c r="P32" s="55"/>
    </row>
    <row r="33" spans="2:18" ht="28.8" x14ac:dyDescent="0.3">
      <c r="B33" s="39" t="s">
        <v>982</v>
      </c>
      <c r="C33" s="39" t="s">
        <v>990</v>
      </c>
      <c r="D33" s="57" t="s">
        <v>989</v>
      </c>
      <c r="E33" s="57"/>
      <c r="F33" s="57"/>
      <c r="G33" s="57"/>
      <c r="H33" s="39" t="s">
        <v>987</v>
      </c>
      <c r="I33" s="39" t="s">
        <v>986</v>
      </c>
      <c r="J33" s="39" t="s">
        <v>991</v>
      </c>
      <c r="K33" s="39" t="s">
        <v>988</v>
      </c>
      <c r="L33" s="40" t="s">
        <v>995</v>
      </c>
      <c r="M33" s="40" t="s">
        <v>985</v>
      </c>
      <c r="N33" s="39" t="s">
        <v>13</v>
      </c>
      <c r="O33" s="39" t="s">
        <v>1042</v>
      </c>
      <c r="P33" s="39" t="s">
        <v>15</v>
      </c>
    </row>
    <row r="34" spans="2:18" ht="15" customHeight="1" x14ac:dyDescent="0.3">
      <c r="B34" s="37">
        <v>5</v>
      </c>
      <c r="C34" s="48" t="s">
        <v>1048</v>
      </c>
      <c r="D34" s="58" t="s">
        <v>1049</v>
      </c>
      <c r="E34" s="58"/>
      <c r="F34" s="58"/>
      <c r="G34" s="58"/>
      <c r="H34" s="49">
        <v>5.41</v>
      </c>
      <c r="I34" s="49">
        <v>12.41</v>
      </c>
      <c r="J34" s="62" t="s">
        <v>1043</v>
      </c>
      <c r="K34" s="63">
        <v>1</v>
      </c>
      <c r="L34" s="38">
        <v>0.9</v>
      </c>
      <c r="M34" s="82">
        <v>0.75</v>
      </c>
      <c r="N34" s="82" t="s">
        <v>1041</v>
      </c>
      <c r="O34" s="87">
        <v>2.62</v>
      </c>
      <c r="P34" s="68">
        <f t="shared" ref="P34:P41" si="3">+ROUND(PRODUCT(K34:O34),3)</f>
        <v>1.7689999999999999</v>
      </c>
      <c r="R34" s="9">
        <f>+M34*K34</f>
        <v>0.75</v>
      </c>
    </row>
    <row r="35" spans="2:18" ht="15" customHeight="1" x14ac:dyDescent="0.3">
      <c r="B35" s="37">
        <v>5</v>
      </c>
      <c r="C35" s="48" t="s">
        <v>1048</v>
      </c>
      <c r="D35" s="58" t="s">
        <v>1049</v>
      </c>
      <c r="E35" s="58"/>
      <c r="F35" s="58"/>
      <c r="G35" s="58"/>
      <c r="H35" s="49">
        <v>5.41</v>
      </c>
      <c r="I35" s="49">
        <v>12.41</v>
      </c>
      <c r="J35" s="62" t="s">
        <v>1043</v>
      </c>
      <c r="K35" s="63">
        <v>1</v>
      </c>
      <c r="L35" s="38">
        <v>0.9</v>
      </c>
      <c r="M35" s="82">
        <v>0.75</v>
      </c>
      <c r="N35" s="82" t="s">
        <v>996</v>
      </c>
      <c r="O35" s="87">
        <v>2.62</v>
      </c>
      <c r="P35" s="68">
        <f t="shared" si="3"/>
        <v>1.7689999999999999</v>
      </c>
      <c r="R35" s="9">
        <f t="shared" ref="R35:R41" si="4">+M35*K35</f>
        <v>0.75</v>
      </c>
    </row>
    <row r="36" spans="2:18" ht="15" customHeight="1" x14ac:dyDescent="0.3">
      <c r="B36" s="37">
        <v>5</v>
      </c>
      <c r="C36" s="48" t="s">
        <v>1048</v>
      </c>
      <c r="D36" s="58" t="s">
        <v>1049</v>
      </c>
      <c r="E36" s="58"/>
      <c r="F36" s="58"/>
      <c r="G36" s="58"/>
      <c r="H36" s="49">
        <v>5.41</v>
      </c>
      <c r="I36" s="49">
        <v>12.41</v>
      </c>
      <c r="J36" s="62" t="s">
        <v>1043</v>
      </c>
      <c r="K36" s="63">
        <v>1</v>
      </c>
      <c r="L36" s="38">
        <v>0.9</v>
      </c>
      <c r="M36" s="82">
        <v>0.5</v>
      </c>
      <c r="N36" s="82" t="s">
        <v>997</v>
      </c>
      <c r="O36" s="87">
        <v>2.62</v>
      </c>
      <c r="P36" s="68">
        <f t="shared" si="3"/>
        <v>1.179</v>
      </c>
      <c r="R36" s="9">
        <f t="shared" si="4"/>
        <v>0.5</v>
      </c>
    </row>
    <row r="37" spans="2:18" ht="15" customHeight="1" x14ac:dyDescent="0.3">
      <c r="B37" s="37">
        <v>5</v>
      </c>
      <c r="C37" s="48" t="s">
        <v>1048</v>
      </c>
      <c r="D37" s="58" t="s">
        <v>1049</v>
      </c>
      <c r="E37" s="58"/>
      <c r="F37" s="58"/>
      <c r="G37" s="58"/>
      <c r="H37" s="49">
        <v>5.41</v>
      </c>
      <c r="I37" s="49">
        <v>12.41</v>
      </c>
      <c r="J37" s="62" t="s">
        <v>1043</v>
      </c>
      <c r="K37" s="63">
        <v>1</v>
      </c>
      <c r="L37" s="38">
        <v>0.9</v>
      </c>
      <c r="M37" s="82">
        <v>0.75</v>
      </c>
      <c r="N37" s="82" t="s">
        <v>997</v>
      </c>
      <c r="O37" s="87">
        <v>2.62</v>
      </c>
      <c r="P37" s="68">
        <f t="shared" si="3"/>
        <v>1.7689999999999999</v>
      </c>
      <c r="R37" s="9">
        <f t="shared" si="4"/>
        <v>0.75</v>
      </c>
    </row>
    <row r="38" spans="2:18" ht="15" customHeight="1" x14ac:dyDescent="0.3">
      <c r="B38" s="37">
        <v>5</v>
      </c>
      <c r="C38" s="48" t="s">
        <v>1048</v>
      </c>
      <c r="D38" s="58" t="s">
        <v>1049</v>
      </c>
      <c r="E38" s="58"/>
      <c r="F38" s="58"/>
      <c r="G38" s="58"/>
      <c r="H38" s="49">
        <v>5.41</v>
      </c>
      <c r="I38" s="49">
        <v>12.41</v>
      </c>
      <c r="J38" s="62" t="s">
        <v>1043</v>
      </c>
      <c r="K38" s="63">
        <v>1</v>
      </c>
      <c r="L38" s="38">
        <v>0.9</v>
      </c>
      <c r="M38" s="82">
        <v>0.5</v>
      </c>
      <c r="N38" s="82" t="s">
        <v>998</v>
      </c>
      <c r="O38" s="87">
        <v>2.62</v>
      </c>
      <c r="P38" s="68">
        <f t="shared" si="3"/>
        <v>1.179</v>
      </c>
      <c r="R38" s="9">
        <f t="shared" si="4"/>
        <v>0.5</v>
      </c>
    </row>
    <row r="39" spans="2:18" ht="15" customHeight="1" x14ac:dyDescent="0.3">
      <c r="B39" s="37">
        <v>5</v>
      </c>
      <c r="C39" s="48" t="s">
        <v>1048</v>
      </c>
      <c r="D39" s="58" t="s">
        <v>1049</v>
      </c>
      <c r="E39" s="58"/>
      <c r="F39" s="58"/>
      <c r="G39" s="58"/>
      <c r="H39" s="49">
        <v>5.41</v>
      </c>
      <c r="I39" s="49">
        <v>12.41</v>
      </c>
      <c r="J39" s="62" t="s">
        <v>1043</v>
      </c>
      <c r="K39" s="63">
        <v>1</v>
      </c>
      <c r="L39" s="38">
        <v>0.9</v>
      </c>
      <c r="M39" s="82">
        <v>0.75</v>
      </c>
      <c r="N39" s="82" t="s">
        <v>998</v>
      </c>
      <c r="O39" s="87">
        <v>2.62</v>
      </c>
      <c r="P39" s="68">
        <f t="shared" si="3"/>
        <v>1.7689999999999999</v>
      </c>
      <c r="R39" s="9">
        <f t="shared" si="4"/>
        <v>0.75</v>
      </c>
    </row>
    <row r="40" spans="2:18" ht="15" customHeight="1" x14ac:dyDescent="0.3">
      <c r="B40" s="37">
        <v>5</v>
      </c>
      <c r="C40" s="48" t="s">
        <v>1048</v>
      </c>
      <c r="D40" s="58" t="s">
        <v>1049</v>
      </c>
      <c r="E40" s="58"/>
      <c r="F40" s="58"/>
      <c r="G40" s="58"/>
      <c r="H40" s="49">
        <v>5.41</v>
      </c>
      <c r="I40" s="49">
        <v>12.41</v>
      </c>
      <c r="J40" s="62" t="s">
        <v>1043</v>
      </c>
      <c r="K40" s="63">
        <v>2</v>
      </c>
      <c r="L40" s="38">
        <v>0.9</v>
      </c>
      <c r="M40" s="82">
        <v>0.75</v>
      </c>
      <c r="N40" s="82" t="s">
        <v>999</v>
      </c>
      <c r="O40" s="87">
        <v>2.62</v>
      </c>
      <c r="P40" s="68">
        <f t="shared" si="3"/>
        <v>3.5369999999999999</v>
      </c>
      <c r="R40" s="9">
        <f t="shared" si="4"/>
        <v>1.5</v>
      </c>
    </row>
    <row r="41" spans="2:18" ht="15" customHeight="1" x14ac:dyDescent="0.3">
      <c r="B41" s="37">
        <v>5</v>
      </c>
      <c r="C41" s="48" t="s">
        <v>1048</v>
      </c>
      <c r="D41" s="58" t="s">
        <v>1049</v>
      </c>
      <c r="E41" s="58"/>
      <c r="F41" s="58"/>
      <c r="G41" s="58"/>
      <c r="H41" s="49">
        <v>5.41</v>
      </c>
      <c r="I41" s="49">
        <v>12.41</v>
      </c>
      <c r="J41" s="49" t="s">
        <v>1043</v>
      </c>
      <c r="K41" s="63">
        <v>2</v>
      </c>
      <c r="L41" s="38">
        <v>0.9</v>
      </c>
      <c r="M41" s="82">
        <v>0.75</v>
      </c>
      <c r="N41" s="82" t="s">
        <v>1000</v>
      </c>
      <c r="O41" s="87">
        <v>2.62</v>
      </c>
      <c r="P41" s="68">
        <f t="shared" si="3"/>
        <v>3.5369999999999999</v>
      </c>
      <c r="R41" s="9">
        <f t="shared" si="4"/>
        <v>1.5</v>
      </c>
    </row>
    <row r="42" spans="2:18" ht="15" customHeight="1" x14ac:dyDescent="0.3">
      <c r="B42" s="37">
        <v>5</v>
      </c>
      <c r="C42" s="48" t="s">
        <v>1048</v>
      </c>
      <c r="D42" s="58" t="s">
        <v>1049</v>
      </c>
      <c r="E42" s="58"/>
      <c r="F42" s="58"/>
      <c r="G42" s="58"/>
      <c r="H42" s="49">
        <v>5.41</v>
      </c>
      <c r="I42" s="49">
        <v>12.41</v>
      </c>
      <c r="J42" s="49" t="s">
        <v>1043</v>
      </c>
      <c r="K42" s="63">
        <v>1</v>
      </c>
      <c r="L42" s="38">
        <v>0.1</v>
      </c>
      <c r="M42" s="121">
        <f>+I42-H42</f>
        <v>7</v>
      </c>
      <c r="N42" s="82" t="s">
        <v>1051</v>
      </c>
      <c r="O42" s="87">
        <v>2.62</v>
      </c>
      <c r="P42" s="68">
        <f t="shared" ref="P42" si="5">+ROUND(PRODUCT(K42:O42),3)</f>
        <v>1.8340000000000001</v>
      </c>
      <c r="R42" s="9">
        <f t="shared" ref="R42" si="6">+M42*K42</f>
        <v>7</v>
      </c>
    </row>
    <row r="43" spans="2:18" ht="15" customHeight="1" x14ac:dyDescent="0.3">
      <c r="B43" s="56" t="s">
        <v>1060</v>
      </c>
      <c r="C43" s="93"/>
      <c r="D43" s="50"/>
      <c r="E43" s="50"/>
      <c r="F43" s="50"/>
      <c r="G43" s="50"/>
      <c r="H43" s="51"/>
      <c r="I43" s="51"/>
      <c r="J43" s="51"/>
      <c r="K43" s="52"/>
      <c r="L43" s="52"/>
      <c r="M43" s="53"/>
      <c r="N43" s="53"/>
      <c r="O43" s="54"/>
      <c r="P43" s="55"/>
    </row>
    <row r="44" spans="2:18" ht="15" customHeight="1" x14ac:dyDescent="0.3">
      <c r="B44" s="39" t="s">
        <v>982</v>
      </c>
      <c r="C44" s="39" t="s">
        <v>990</v>
      </c>
      <c r="D44" s="57" t="s">
        <v>994</v>
      </c>
      <c r="E44" s="57"/>
      <c r="F44" s="57"/>
      <c r="G44" s="57"/>
      <c r="H44" s="66"/>
      <c r="I44" s="39" t="s">
        <v>1055</v>
      </c>
      <c r="J44" s="39" t="s">
        <v>991</v>
      </c>
      <c r="K44" s="39" t="s">
        <v>988</v>
      </c>
      <c r="L44" s="39" t="s">
        <v>1056</v>
      </c>
      <c r="M44" s="40" t="s">
        <v>985</v>
      </c>
      <c r="N44" s="39" t="s">
        <v>1057</v>
      </c>
      <c r="O44" s="40" t="s">
        <v>984</v>
      </c>
      <c r="P44" s="40" t="s">
        <v>15</v>
      </c>
    </row>
    <row r="45" spans="2:18" ht="15" customHeight="1" x14ac:dyDescent="0.3">
      <c r="B45" s="63">
        <v>5</v>
      </c>
      <c r="C45" s="48" t="s">
        <v>1048</v>
      </c>
      <c r="D45" s="61" t="s">
        <v>1059</v>
      </c>
      <c r="E45" s="61"/>
      <c r="F45" s="61"/>
      <c r="G45" s="61"/>
      <c r="H45" s="65"/>
      <c r="I45" s="122">
        <v>30</v>
      </c>
      <c r="J45" s="62" t="s">
        <v>1058</v>
      </c>
      <c r="K45" s="63">
        <v>1</v>
      </c>
      <c r="L45" s="63"/>
      <c r="M45" s="123">
        <f t="shared" ref="M45" si="7">+I45/100</f>
        <v>0.3</v>
      </c>
      <c r="N45" s="123"/>
      <c r="O45" s="89">
        <v>11.965999999999999</v>
      </c>
      <c r="P45" s="99">
        <f t="shared" ref="P45" si="8">+ROUND(PRODUCT(K45:O45),3)</f>
        <v>3.59</v>
      </c>
    </row>
    <row r="46" spans="2:18" ht="4.95" customHeight="1" x14ac:dyDescent="0.3">
      <c r="B46" s="41"/>
      <c r="C46" s="44"/>
      <c r="D46" s="42"/>
      <c r="E46" s="42"/>
      <c r="F46" s="42"/>
      <c r="G46" s="42"/>
      <c r="H46" s="43"/>
      <c r="I46" s="43"/>
      <c r="J46" s="43"/>
      <c r="K46" s="43"/>
      <c r="L46" s="43"/>
      <c r="M46" s="43"/>
      <c r="N46" s="43"/>
      <c r="O46" s="44"/>
      <c r="P46" s="45"/>
    </row>
    <row r="47" spans="2:18" ht="15" hidden="1" customHeight="1" x14ac:dyDescent="0.3"/>
    <row r="48" spans="2:18" ht="30" hidden="1" customHeight="1" x14ac:dyDescent="0.3">
      <c r="B48" s="129" t="s">
        <v>7</v>
      </c>
      <c r="C48" s="131"/>
      <c r="D48" s="129" t="s">
        <v>8</v>
      </c>
      <c r="E48" s="130"/>
      <c r="F48" s="130"/>
      <c r="G48" s="130"/>
      <c r="H48" s="130"/>
      <c r="I48" s="130"/>
      <c r="J48" s="130"/>
      <c r="K48" s="130"/>
      <c r="L48" s="130"/>
      <c r="M48" s="34" t="s">
        <v>9</v>
      </c>
      <c r="N48" s="109" t="s">
        <v>1038</v>
      </c>
      <c r="O48" s="109" t="s">
        <v>1039</v>
      </c>
      <c r="P48" s="35" t="s">
        <v>1040</v>
      </c>
    </row>
    <row r="49" spans="2:31" ht="30" hidden="1" customHeight="1" x14ac:dyDescent="0.3">
      <c r="B49" s="133" t="s">
        <v>134</v>
      </c>
      <c r="C49" s="134"/>
      <c r="D49" s="124" t="str">
        <f>+VLOOKUP(B49,[1]Liste!B:E,2,FALSE)</f>
        <v>L=6 m Kaya Bulonu</v>
      </c>
      <c r="E49" s="125"/>
      <c r="F49" s="125"/>
      <c r="G49" s="125"/>
      <c r="H49" s="125"/>
      <c r="I49" s="125"/>
      <c r="J49" s="125"/>
      <c r="K49" s="125"/>
      <c r="L49" s="125"/>
      <c r="M49" s="36" t="str">
        <f>+VLOOKUP(B49,[1]Liste!B:E,3,FALSE)</f>
        <v>adet</v>
      </c>
      <c r="N49" s="67">
        <f>+[1]İcmal!K29</f>
        <v>0</v>
      </c>
      <c r="O49" s="67">
        <f>+[1]İcmal!L29</f>
        <v>0</v>
      </c>
      <c r="P49" s="67">
        <f>+SUM(P50:P52)</f>
        <v>0</v>
      </c>
    </row>
    <row r="50" spans="2:31" ht="15" hidden="1" customHeight="1" x14ac:dyDescent="0.3">
      <c r="B50" s="39" t="s">
        <v>982</v>
      </c>
      <c r="C50" s="39" t="s">
        <v>990</v>
      </c>
      <c r="D50" s="57" t="s">
        <v>989</v>
      </c>
      <c r="E50" s="57"/>
      <c r="F50" s="57"/>
      <c r="G50" s="57"/>
      <c r="H50" s="70"/>
      <c r="I50" s="70"/>
      <c r="J50" s="70"/>
      <c r="K50" s="39" t="s">
        <v>988</v>
      </c>
      <c r="L50" s="72"/>
      <c r="M50" s="73"/>
      <c r="N50" s="74"/>
      <c r="O50" s="75" t="s">
        <v>1005</v>
      </c>
      <c r="P50" s="40" t="s">
        <v>15</v>
      </c>
    </row>
    <row r="51" spans="2:31" ht="15" hidden="1" customHeight="1" x14ac:dyDescent="0.3">
      <c r="B51" s="37">
        <v>5</v>
      </c>
      <c r="C51" s="48" t="s">
        <v>1048</v>
      </c>
      <c r="D51" s="58" t="s">
        <v>1049</v>
      </c>
      <c r="E51" s="58"/>
      <c r="F51" s="58"/>
      <c r="G51" s="58"/>
      <c r="H51" s="71"/>
      <c r="I51" s="71"/>
      <c r="J51" s="71"/>
      <c r="K51" s="63">
        <v>1</v>
      </c>
      <c r="L51" s="76"/>
      <c r="M51" s="77"/>
      <c r="N51" s="77"/>
      <c r="O51" s="78">
        <v>0</v>
      </c>
      <c r="P51" s="59">
        <f>+ROUND(PRODUCT(K51:O51),3)</f>
        <v>0</v>
      </c>
    </row>
    <row r="52" spans="2:31" ht="4.95" hidden="1" customHeight="1" x14ac:dyDescent="0.3">
      <c r="B52" s="41"/>
      <c r="C52" s="44"/>
      <c r="D52" s="42"/>
      <c r="E52" s="42"/>
      <c r="F52" s="42"/>
      <c r="G52" s="42"/>
      <c r="H52" s="43"/>
      <c r="I52" s="43"/>
      <c r="J52" s="43"/>
      <c r="K52" s="43"/>
      <c r="L52" s="43"/>
      <c r="M52" s="43"/>
      <c r="N52" s="43"/>
      <c r="O52" s="44"/>
      <c r="P52" s="45"/>
    </row>
    <row r="53" spans="2:31" ht="19.95" customHeight="1" x14ac:dyDescent="0.3">
      <c r="C53" s="30"/>
      <c r="D53" s="33"/>
      <c r="E53" s="33"/>
      <c r="F53" s="33"/>
      <c r="G53" s="33"/>
      <c r="H53" s="12"/>
      <c r="I53" s="12"/>
      <c r="J53" s="12"/>
      <c r="K53" s="12"/>
      <c r="L53" s="12"/>
      <c r="M53" s="12"/>
      <c r="N53" s="12"/>
      <c r="O53" s="30"/>
    </row>
    <row r="54" spans="2:31" ht="30" customHeight="1" x14ac:dyDescent="0.3">
      <c r="B54" s="129" t="s">
        <v>7</v>
      </c>
      <c r="C54" s="131"/>
      <c r="D54" s="129" t="s">
        <v>8</v>
      </c>
      <c r="E54" s="130"/>
      <c r="F54" s="130"/>
      <c r="G54" s="130"/>
      <c r="H54" s="130"/>
      <c r="I54" s="130"/>
      <c r="J54" s="130"/>
      <c r="K54" s="130"/>
      <c r="L54" s="130"/>
      <c r="M54" s="34" t="s">
        <v>9</v>
      </c>
      <c r="N54" s="109" t="s">
        <v>1038</v>
      </c>
      <c r="O54" s="109" t="s">
        <v>1039</v>
      </c>
      <c r="P54" s="35" t="s">
        <v>1040</v>
      </c>
    </row>
    <row r="55" spans="2:31" ht="30" customHeight="1" x14ac:dyDescent="0.3">
      <c r="B55" s="133" t="s">
        <v>135</v>
      </c>
      <c r="C55" s="134"/>
      <c r="D55" s="124" t="str">
        <f>+VLOOKUP(B55,[1]Liste!B:E,2,FALSE)</f>
        <v>L=8 m Kaya Bulonu</v>
      </c>
      <c r="E55" s="125"/>
      <c r="F55" s="125"/>
      <c r="G55" s="125"/>
      <c r="H55" s="125"/>
      <c r="I55" s="125"/>
      <c r="J55" s="125"/>
      <c r="K55" s="125"/>
      <c r="L55" s="125"/>
      <c r="M55" s="36" t="str">
        <f>+VLOOKUP(B55,[1]Liste!B:E,3,FALSE)</f>
        <v>adet</v>
      </c>
      <c r="N55" s="67">
        <v>22</v>
      </c>
      <c r="O55" s="67">
        <f>+P55-N55</f>
        <v>22</v>
      </c>
      <c r="P55" s="67">
        <f>+SUM(P56:P59)</f>
        <v>44</v>
      </c>
      <c r="AA55" s="9">
        <f>+VLOOKUP(B55,[2]Liste!$B$2:$F$483,5,FALSE)</f>
        <v>28000</v>
      </c>
      <c r="AC55" s="9">
        <f>+AA55*N55</f>
        <v>616000</v>
      </c>
      <c r="AD55" s="9">
        <f>+AA55*O55</f>
        <v>616000</v>
      </c>
      <c r="AE55" s="9">
        <f>+AA55*P55</f>
        <v>1232000</v>
      </c>
    </row>
    <row r="56" spans="2:31" ht="15" customHeight="1" x14ac:dyDescent="0.3">
      <c r="B56" s="39" t="s">
        <v>982</v>
      </c>
      <c r="C56" s="39" t="s">
        <v>990</v>
      </c>
      <c r="D56" s="57" t="s">
        <v>989</v>
      </c>
      <c r="E56" s="57"/>
      <c r="F56" s="57"/>
      <c r="G56" s="57"/>
      <c r="H56" s="70"/>
      <c r="I56" s="70"/>
      <c r="J56" s="70"/>
      <c r="K56" s="39" t="s">
        <v>988</v>
      </c>
      <c r="L56" s="72"/>
      <c r="M56" s="73"/>
      <c r="N56" s="74"/>
      <c r="O56" s="75" t="s">
        <v>1005</v>
      </c>
      <c r="P56" s="40" t="s">
        <v>15</v>
      </c>
    </row>
    <row r="57" spans="2:31" ht="15" customHeight="1" x14ac:dyDescent="0.3">
      <c r="B57" s="37">
        <v>4</v>
      </c>
      <c r="C57" s="48" t="s">
        <v>1047</v>
      </c>
      <c r="D57" s="58" t="s">
        <v>1050</v>
      </c>
      <c r="E57" s="58"/>
      <c r="F57" s="58"/>
      <c r="G57" s="58"/>
      <c r="H57" s="71"/>
      <c r="I57" s="71"/>
      <c r="J57" s="71"/>
      <c r="K57" s="37">
        <v>1</v>
      </c>
      <c r="L57" s="76"/>
      <c r="M57" s="77"/>
      <c r="N57" s="77"/>
      <c r="O57" s="78">
        <v>22</v>
      </c>
      <c r="P57" s="59">
        <f>+ROUND(PRODUCT(K57:O57),3)</f>
        <v>22</v>
      </c>
    </row>
    <row r="58" spans="2:31" ht="15" customHeight="1" x14ac:dyDescent="0.3">
      <c r="B58" s="37">
        <v>6</v>
      </c>
      <c r="C58" s="48" t="s">
        <v>1062</v>
      </c>
      <c r="D58" s="58" t="s">
        <v>1063</v>
      </c>
      <c r="E58" s="58"/>
      <c r="F58" s="58"/>
      <c r="G58" s="58"/>
      <c r="H58" s="71"/>
      <c r="I58" s="71"/>
      <c r="J58" s="71"/>
      <c r="K58" s="37">
        <v>1</v>
      </c>
      <c r="L58" s="76"/>
      <c r="M58" s="77"/>
      <c r="N58" s="77"/>
      <c r="O58" s="78">
        <v>22</v>
      </c>
      <c r="P58" s="59">
        <f>+ROUND(PRODUCT(K58:O58),3)</f>
        <v>22</v>
      </c>
    </row>
    <row r="59" spans="2:31" ht="4.95" customHeight="1" x14ac:dyDescent="0.3">
      <c r="B59" s="41"/>
      <c r="C59" s="44"/>
      <c r="D59" s="42"/>
      <c r="E59" s="42"/>
      <c r="F59" s="42"/>
      <c r="G59" s="42"/>
      <c r="H59" s="43"/>
      <c r="I59" s="43"/>
      <c r="J59" s="43"/>
      <c r="K59" s="43"/>
      <c r="L59" s="43"/>
      <c r="M59" s="43"/>
      <c r="N59" s="43"/>
      <c r="O59" s="44"/>
      <c r="P59" s="45"/>
    </row>
    <row r="60" spans="2:31" ht="19.95" hidden="1" customHeight="1" x14ac:dyDescent="0.3">
      <c r="C60" s="30"/>
      <c r="D60" s="33"/>
      <c r="E60" s="33"/>
      <c r="F60" s="33"/>
      <c r="G60" s="33"/>
      <c r="H60" s="12"/>
      <c r="I60" s="12"/>
      <c r="J60" s="12"/>
      <c r="K60" s="12"/>
      <c r="L60" s="12"/>
      <c r="M60" s="12"/>
      <c r="N60" s="12"/>
      <c r="O60" s="30"/>
    </row>
    <row r="61" spans="2:31" ht="30" hidden="1" customHeight="1" x14ac:dyDescent="0.3">
      <c r="B61" s="129" t="s">
        <v>7</v>
      </c>
      <c r="C61" s="131"/>
      <c r="D61" s="129" t="s">
        <v>8</v>
      </c>
      <c r="E61" s="130"/>
      <c r="F61" s="130"/>
      <c r="G61" s="130"/>
      <c r="H61" s="130"/>
      <c r="I61" s="130"/>
      <c r="J61" s="130"/>
      <c r="K61" s="130"/>
      <c r="L61" s="130"/>
      <c r="M61" s="34" t="s">
        <v>9</v>
      </c>
      <c r="N61" s="109" t="s">
        <v>1038</v>
      </c>
      <c r="O61" s="109" t="s">
        <v>1039</v>
      </c>
      <c r="P61" s="35" t="s">
        <v>1040</v>
      </c>
    </row>
    <row r="62" spans="2:31" ht="30" hidden="1" customHeight="1" x14ac:dyDescent="0.3">
      <c r="B62" s="133" t="s">
        <v>137</v>
      </c>
      <c r="C62" s="134"/>
      <c r="D62" s="124" t="str">
        <f>+VLOOKUP(B62,[1]Liste!B:E,2,FALSE)</f>
        <v>125 mm Delik İçine 14 mm Kalınlığında S420a ile Zemin Çivisi Teşkili</v>
      </c>
      <c r="E62" s="125"/>
      <c r="F62" s="125"/>
      <c r="G62" s="125"/>
      <c r="H62" s="125"/>
      <c r="I62" s="125"/>
      <c r="J62" s="125"/>
      <c r="K62" s="125"/>
      <c r="L62" s="125"/>
      <c r="M62" s="36" t="str">
        <f>+VLOOKUP(B62,[1]Liste!B:E,3,FALSE)</f>
        <v>m</v>
      </c>
      <c r="N62" s="67">
        <f>+[1]İcmal!K30</f>
        <v>0</v>
      </c>
      <c r="O62" s="67">
        <v>0</v>
      </c>
      <c r="P62" s="67">
        <f>+SUM(P63:P65)</f>
        <v>0</v>
      </c>
    </row>
    <row r="63" spans="2:31" ht="15.6" hidden="1" customHeight="1" x14ac:dyDescent="0.3">
      <c r="B63" s="39" t="s">
        <v>982</v>
      </c>
      <c r="C63" s="39" t="s">
        <v>990</v>
      </c>
      <c r="D63" s="57" t="s">
        <v>989</v>
      </c>
      <c r="E63" s="57"/>
      <c r="F63" s="57"/>
      <c r="G63" s="57"/>
      <c r="H63" s="70"/>
      <c r="I63" s="70"/>
      <c r="J63" s="70"/>
      <c r="K63" s="39" t="s">
        <v>988</v>
      </c>
      <c r="L63" s="72"/>
      <c r="M63" s="73"/>
      <c r="N63" s="74"/>
      <c r="O63" s="75" t="s">
        <v>985</v>
      </c>
      <c r="P63" s="40" t="s">
        <v>15</v>
      </c>
    </row>
    <row r="64" spans="2:31" ht="15.6" hidden="1" customHeight="1" x14ac:dyDescent="0.3">
      <c r="B64" s="37">
        <v>4</v>
      </c>
      <c r="C64" s="48" t="s">
        <v>1048</v>
      </c>
      <c r="D64" s="58" t="s">
        <v>1036</v>
      </c>
      <c r="E64" s="58"/>
      <c r="F64" s="58"/>
      <c r="G64" s="58"/>
      <c r="H64" s="71"/>
      <c r="I64" s="71"/>
      <c r="J64" s="71"/>
      <c r="K64" s="37">
        <v>0</v>
      </c>
      <c r="L64" s="76"/>
      <c r="M64" s="77"/>
      <c r="N64" s="77"/>
      <c r="O64" s="78">
        <v>0</v>
      </c>
      <c r="P64" s="59">
        <f>+ROUND(PRODUCT(K64:O64),3)</f>
        <v>0</v>
      </c>
    </row>
    <row r="65" spans="2:31" ht="4.95" hidden="1" customHeight="1" x14ac:dyDescent="0.3">
      <c r="B65" s="41"/>
      <c r="C65" s="44"/>
      <c r="D65" s="42"/>
      <c r="E65" s="42"/>
      <c r="F65" s="42"/>
      <c r="G65" s="42"/>
      <c r="H65" s="43"/>
      <c r="I65" s="43"/>
      <c r="J65" s="43"/>
      <c r="K65" s="43"/>
      <c r="L65" s="43"/>
      <c r="M65" s="43"/>
      <c r="N65" s="43"/>
      <c r="O65" s="44"/>
      <c r="P65" s="45"/>
    </row>
    <row r="66" spans="2:31" ht="19.95" customHeight="1" x14ac:dyDescent="0.3">
      <c r="C66" s="30"/>
      <c r="D66" s="33"/>
      <c r="E66" s="33"/>
      <c r="F66" s="33"/>
      <c r="G66" s="33"/>
      <c r="H66" s="12"/>
      <c r="I66" s="12"/>
      <c r="J66" s="12"/>
      <c r="K66" s="12"/>
      <c r="L66" s="12"/>
      <c r="M66" s="12"/>
      <c r="N66" s="12"/>
      <c r="O66" s="30"/>
    </row>
    <row r="67" spans="2:31" ht="30" customHeight="1" x14ac:dyDescent="0.3">
      <c r="B67" s="129" t="s">
        <v>7</v>
      </c>
      <c r="C67" s="131"/>
      <c r="D67" s="129" t="s">
        <v>8</v>
      </c>
      <c r="E67" s="130"/>
      <c r="F67" s="130"/>
      <c r="G67" s="130"/>
      <c r="H67" s="130"/>
      <c r="I67" s="130"/>
      <c r="J67" s="130"/>
      <c r="K67" s="130"/>
      <c r="L67" s="130"/>
      <c r="M67" s="34" t="s">
        <v>9</v>
      </c>
      <c r="N67" s="109" t="s">
        <v>1038</v>
      </c>
      <c r="O67" s="109" t="s">
        <v>1039</v>
      </c>
      <c r="P67" s="35" t="s">
        <v>1040</v>
      </c>
    </row>
    <row r="68" spans="2:31" ht="30" customHeight="1" x14ac:dyDescent="0.3">
      <c r="B68" s="133" t="s">
        <v>139</v>
      </c>
      <c r="C68" s="134"/>
      <c r="D68" s="124" t="str">
        <f>+VLOOKUP(B68,[1]Liste!B:E,2,FALSE)</f>
        <v>Çelik İksa (Tünel ve Şaftlarda)</v>
      </c>
      <c r="E68" s="125"/>
      <c r="F68" s="125"/>
      <c r="G68" s="125"/>
      <c r="H68" s="125"/>
      <c r="I68" s="125"/>
      <c r="J68" s="125"/>
      <c r="K68" s="125"/>
      <c r="L68" s="125"/>
      <c r="M68" s="36" t="str">
        <f>+VLOOKUP(B68,[1]Liste!B:E,3,FALSE)</f>
        <v>ton</v>
      </c>
      <c r="N68" s="67">
        <v>4.383</v>
      </c>
      <c r="O68" s="67">
        <f>+P68-N68</f>
        <v>0</v>
      </c>
      <c r="P68" s="67">
        <f>+ROUND(SUM(P69:P77),3)</f>
        <v>4.383</v>
      </c>
      <c r="AA68" s="9">
        <f>+VLOOKUP(B68,[2]Liste!$B$2:$F$483,5,FALSE)</f>
        <v>102000</v>
      </c>
      <c r="AC68" s="9">
        <f>+AA68*N68</f>
        <v>447066</v>
      </c>
      <c r="AD68" s="9">
        <f>+AA68*O68</f>
        <v>0</v>
      </c>
      <c r="AE68" s="9">
        <f>+AA68*P68</f>
        <v>447066</v>
      </c>
    </row>
    <row r="69" spans="2:31" ht="15" customHeight="1" x14ac:dyDescent="0.3">
      <c r="B69" s="56" t="s">
        <v>1044</v>
      </c>
      <c r="C69" s="93"/>
      <c r="D69" s="50"/>
      <c r="E69" s="50"/>
      <c r="F69" s="50"/>
      <c r="G69" s="50"/>
      <c r="H69" s="51"/>
      <c r="I69" s="51"/>
      <c r="J69" s="51"/>
      <c r="K69" s="52"/>
      <c r="L69" s="52"/>
      <c r="M69" s="53"/>
      <c r="N69" s="53"/>
      <c r="O69" s="54"/>
      <c r="P69" s="55"/>
    </row>
    <row r="70" spans="2:31" ht="15" customHeight="1" x14ac:dyDescent="0.3">
      <c r="B70" s="39" t="s">
        <v>982</v>
      </c>
      <c r="C70" s="39" t="s">
        <v>990</v>
      </c>
      <c r="D70" s="57" t="s">
        <v>989</v>
      </c>
      <c r="E70" s="57"/>
      <c r="F70" s="57"/>
      <c r="G70" s="57"/>
      <c r="H70" s="39" t="s">
        <v>987</v>
      </c>
      <c r="I70" s="39" t="s">
        <v>986</v>
      </c>
      <c r="J70" s="39" t="s">
        <v>991</v>
      </c>
      <c r="K70" s="39" t="s">
        <v>988</v>
      </c>
      <c r="L70" s="79" t="s">
        <v>13</v>
      </c>
      <c r="M70" s="80"/>
      <c r="N70" s="81"/>
      <c r="O70" s="40" t="s">
        <v>993</v>
      </c>
      <c r="P70" s="40" t="s">
        <v>15</v>
      </c>
    </row>
    <row r="71" spans="2:31" ht="15" customHeight="1" x14ac:dyDescent="0.3">
      <c r="B71" s="37">
        <v>4</v>
      </c>
      <c r="C71" s="48" t="s">
        <v>1048</v>
      </c>
      <c r="D71" s="58" t="s">
        <v>1049</v>
      </c>
      <c r="E71" s="58"/>
      <c r="F71" s="58"/>
      <c r="G71" s="58"/>
      <c r="H71" s="49">
        <v>5.41</v>
      </c>
      <c r="I71" s="49">
        <v>12.41</v>
      </c>
      <c r="J71" s="62" t="s">
        <v>1043</v>
      </c>
      <c r="K71" s="63">
        <v>1</v>
      </c>
      <c r="L71" s="82" t="s">
        <v>1041</v>
      </c>
      <c r="M71" s="83"/>
      <c r="N71" s="84"/>
      <c r="O71" s="87">
        <v>393.95499999999998</v>
      </c>
      <c r="P71" s="68">
        <f t="shared" ref="P71:P76" si="9">+ROUND(K71*O71/1000,3)</f>
        <v>0.39400000000000002</v>
      </c>
    </row>
    <row r="72" spans="2:31" ht="15" customHeight="1" x14ac:dyDescent="0.3">
      <c r="B72" s="37">
        <v>4</v>
      </c>
      <c r="C72" s="48" t="s">
        <v>1048</v>
      </c>
      <c r="D72" s="58" t="s">
        <v>1049</v>
      </c>
      <c r="E72" s="58"/>
      <c r="F72" s="58"/>
      <c r="G72" s="58"/>
      <c r="H72" s="49">
        <v>5.41</v>
      </c>
      <c r="I72" s="49">
        <v>12.41</v>
      </c>
      <c r="J72" s="62" t="s">
        <v>1043</v>
      </c>
      <c r="K72" s="63">
        <v>2</v>
      </c>
      <c r="L72" s="82" t="s">
        <v>996</v>
      </c>
      <c r="M72" s="83"/>
      <c r="N72" s="84"/>
      <c r="O72" s="87">
        <v>393.95499999999998</v>
      </c>
      <c r="P72" s="68">
        <f t="shared" si="9"/>
        <v>0.78800000000000003</v>
      </c>
    </row>
    <row r="73" spans="2:31" ht="15" customHeight="1" x14ac:dyDescent="0.3">
      <c r="B73" s="37">
        <v>4</v>
      </c>
      <c r="C73" s="48" t="s">
        <v>1048</v>
      </c>
      <c r="D73" s="58" t="s">
        <v>1049</v>
      </c>
      <c r="E73" s="58"/>
      <c r="F73" s="58"/>
      <c r="G73" s="58"/>
      <c r="H73" s="49">
        <v>5.41</v>
      </c>
      <c r="I73" s="49">
        <v>12.41</v>
      </c>
      <c r="J73" s="62" t="s">
        <v>1043</v>
      </c>
      <c r="K73" s="63">
        <v>2</v>
      </c>
      <c r="L73" s="82" t="s">
        <v>997</v>
      </c>
      <c r="M73" s="83"/>
      <c r="N73" s="84"/>
      <c r="O73" s="87">
        <v>393.95499999999998</v>
      </c>
      <c r="P73" s="68">
        <f t="shared" si="9"/>
        <v>0.78800000000000003</v>
      </c>
    </row>
    <row r="74" spans="2:31" ht="15" customHeight="1" x14ac:dyDescent="0.3">
      <c r="B74" s="37">
        <v>4</v>
      </c>
      <c r="C74" s="48" t="s">
        <v>1048</v>
      </c>
      <c r="D74" s="58" t="s">
        <v>1049</v>
      </c>
      <c r="E74" s="58"/>
      <c r="F74" s="58"/>
      <c r="G74" s="58"/>
      <c r="H74" s="49">
        <v>5.41</v>
      </c>
      <c r="I74" s="49">
        <v>12.41</v>
      </c>
      <c r="J74" s="62" t="s">
        <v>1043</v>
      </c>
      <c r="K74" s="63">
        <v>2</v>
      </c>
      <c r="L74" s="82" t="s">
        <v>998</v>
      </c>
      <c r="M74" s="83"/>
      <c r="N74" s="84"/>
      <c r="O74" s="87">
        <v>394.12599999999998</v>
      </c>
      <c r="P74" s="68">
        <f t="shared" si="9"/>
        <v>0.78800000000000003</v>
      </c>
    </row>
    <row r="75" spans="2:31" ht="15" customHeight="1" x14ac:dyDescent="0.3">
      <c r="B75" s="37">
        <v>4</v>
      </c>
      <c r="C75" s="48" t="s">
        <v>1048</v>
      </c>
      <c r="D75" s="58" t="s">
        <v>1049</v>
      </c>
      <c r="E75" s="58"/>
      <c r="F75" s="58"/>
      <c r="G75" s="58"/>
      <c r="H75" s="49">
        <v>5.41</v>
      </c>
      <c r="I75" s="49">
        <v>12.41</v>
      </c>
      <c r="J75" s="62" t="s">
        <v>1043</v>
      </c>
      <c r="K75" s="63">
        <v>2</v>
      </c>
      <c r="L75" s="82" t="s">
        <v>999</v>
      </c>
      <c r="M75" s="83"/>
      <c r="N75" s="84"/>
      <c r="O75" s="87">
        <v>400.60599999999999</v>
      </c>
      <c r="P75" s="68">
        <f t="shared" si="9"/>
        <v>0.80100000000000005</v>
      </c>
    </row>
    <row r="76" spans="2:31" ht="15" customHeight="1" x14ac:dyDescent="0.3">
      <c r="B76" s="37">
        <v>4</v>
      </c>
      <c r="C76" s="48" t="s">
        <v>1048</v>
      </c>
      <c r="D76" s="58" t="s">
        <v>1049</v>
      </c>
      <c r="E76" s="58"/>
      <c r="F76" s="58"/>
      <c r="G76" s="58"/>
      <c r="H76" s="49">
        <v>5.41</v>
      </c>
      <c r="I76" s="49">
        <v>12.41</v>
      </c>
      <c r="J76" s="49" t="s">
        <v>1043</v>
      </c>
      <c r="K76" s="63">
        <v>2</v>
      </c>
      <c r="L76" s="82" t="s">
        <v>1000</v>
      </c>
      <c r="M76" s="83"/>
      <c r="N76" s="84"/>
      <c r="O76" s="88">
        <v>411.86</v>
      </c>
      <c r="P76" s="59">
        <f t="shared" si="9"/>
        <v>0.82399999999999995</v>
      </c>
    </row>
    <row r="77" spans="2:31" ht="4.95" customHeight="1" x14ac:dyDescent="0.3">
      <c r="B77" s="41"/>
      <c r="C77" s="44"/>
      <c r="D77" s="42"/>
      <c r="E77" s="42"/>
      <c r="F77" s="42"/>
      <c r="G77" s="42"/>
      <c r="H77" s="43"/>
      <c r="I77" s="43"/>
      <c r="J77" s="43"/>
      <c r="K77" s="43"/>
      <c r="L77" s="43"/>
      <c r="M77" s="43"/>
      <c r="N77" s="43"/>
      <c r="O77" s="44"/>
      <c r="P77" s="45"/>
    </row>
    <row r="79" spans="2:31" ht="30" hidden="1" customHeight="1" x14ac:dyDescent="0.3">
      <c r="B79" s="129" t="s">
        <v>7</v>
      </c>
      <c r="C79" s="131"/>
      <c r="D79" s="129" t="s">
        <v>8</v>
      </c>
      <c r="E79" s="130"/>
      <c r="F79" s="130"/>
      <c r="G79" s="130"/>
      <c r="H79" s="130"/>
      <c r="I79" s="130"/>
      <c r="J79" s="130"/>
      <c r="K79" s="130"/>
      <c r="L79" s="130"/>
      <c r="M79" s="34" t="s">
        <v>9</v>
      </c>
      <c r="N79" s="109" t="s">
        <v>1038</v>
      </c>
      <c r="O79" s="109" t="s">
        <v>1039</v>
      </c>
      <c r="P79" s="35" t="s">
        <v>1040</v>
      </c>
    </row>
    <row r="80" spans="2:31" ht="30" hidden="1" customHeight="1" x14ac:dyDescent="0.3">
      <c r="B80" s="133" t="s">
        <v>141</v>
      </c>
      <c r="C80" s="134"/>
      <c r="D80" s="124" t="str">
        <f>+VLOOKUP(B80,[1]Liste!B:E,2,FALSE)</f>
        <v>Umbrella Arch Yapılması</v>
      </c>
      <c r="E80" s="125"/>
      <c r="F80" s="125"/>
      <c r="G80" s="125"/>
      <c r="H80" s="125"/>
      <c r="I80" s="125"/>
      <c r="J80" s="125"/>
      <c r="K80" s="125"/>
      <c r="L80" s="125"/>
      <c r="M80" s="36" t="str">
        <f>+VLOOKUP(B80,[1]Liste!B:E,3,FALSE)</f>
        <v>m</v>
      </c>
      <c r="N80" s="67" t="e">
        <f>+[1]İcmal!K14</f>
        <v>#REF!</v>
      </c>
      <c r="O80" s="67" t="e">
        <f>+[1]İcmal!L14</f>
        <v>#REF!</v>
      </c>
      <c r="P80" s="67">
        <f>+SUM(P81:P83)</f>
        <v>0</v>
      </c>
    </row>
    <row r="81" spans="2:31" ht="15" hidden="1" customHeight="1" x14ac:dyDescent="0.3">
      <c r="B81" s="39" t="s">
        <v>982</v>
      </c>
      <c r="C81" s="39" t="s">
        <v>990</v>
      </c>
      <c r="D81" s="57" t="s">
        <v>989</v>
      </c>
      <c r="E81" s="57"/>
      <c r="F81" s="57"/>
      <c r="G81" s="57"/>
      <c r="H81" s="70"/>
      <c r="I81" s="70"/>
      <c r="J81" s="70"/>
      <c r="K81" s="39" t="s">
        <v>988</v>
      </c>
      <c r="L81" s="72"/>
      <c r="M81" s="73"/>
      <c r="N81" s="74"/>
      <c r="O81" s="40" t="s">
        <v>985</v>
      </c>
      <c r="P81" s="40" t="s">
        <v>15</v>
      </c>
    </row>
    <row r="82" spans="2:31" ht="15" hidden="1" customHeight="1" x14ac:dyDescent="0.3">
      <c r="B82" s="37">
        <v>3</v>
      </c>
      <c r="C82" s="48" t="s">
        <v>1048</v>
      </c>
      <c r="D82" s="58" t="s">
        <v>1036</v>
      </c>
      <c r="E82" s="58"/>
      <c r="F82" s="58"/>
      <c r="G82" s="58"/>
      <c r="H82" s="71"/>
      <c r="I82" s="71"/>
      <c r="J82" s="71"/>
      <c r="K82" s="37">
        <v>1</v>
      </c>
      <c r="L82" s="76"/>
      <c r="M82" s="77"/>
      <c r="N82" s="77"/>
      <c r="O82" s="69">
        <v>0</v>
      </c>
      <c r="P82" s="59">
        <f>+ROUND(PRODUCT(K82:O82),3)</f>
        <v>0</v>
      </c>
    </row>
    <row r="83" spans="2:31" ht="4.95" hidden="1" customHeight="1" x14ac:dyDescent="0.3">
      <c r="B83" s="41"/>
      <c r="C83" s="44"/>
      <c r="D83" s="42"/>
      <c r="E83" s="42"/>
      <c r="F83" s="42"/>
      <c r="G83" s="42"/>
      <c r="H83" s="43"/>
      <c r="I83" s="43"/>
      <c r="J83" s="43"/>
      <c r="K83" s="43"/>
      <c r="L83" s="43"/>
      <c r="M83" s="43"/>
      <c r="N83" s="43"/>
      <c r="O83" s="44"/>
      <c r="P83" s="45"/>
    </row>
    <row r="84" spans="2:31" ht="19.95" hidden="1" customHeight="1" x14ac:dyDescent="0.3">
      <c r="C84" s="30"/>
      <c r="D84" s="33"/>
      <c r="E84" s="33"/>
      <c r="F84" s="33"/>
      <c r="G84" s="33"/>
      <c r="H84" s="12"/>
      <c r="I84" s="12"/>
      <c r="J84" s="12"/>
      <c r="K84" s="12"/>
      <c r="L84" s="12"/>
      <c r="M84" s="12"/>
      <c r="N84" s="12"/>
      <c r="O84" s="30"/>
    </row>
    <row r="85" spans="2:31" ht="30" customHeight="1" x14ac:dyDescent="0.3">
      <c r="B85" s="129" t="s">
        <v>7</v>
      </c>
      <c r="C85" s="131"/>
      <c r="D85" s="129" t="s">
        <v>8</v>
      </c>
      <c r="E85" s="130"/>
      <c r="F85" s="130"/>
      <c r="G85" s="130"/>
      <c r="H85" s="130"/>
      <c r="I85" s="130"/>
      <c r="J85" s="130"/>
      <c r="K85" s="130"/>
      <c r="L85" s="130"/>
      <c r="M85" s="34" t="s">
        <v>9</v>
      </c>
      <c r="N85" s="109" t="s">
        <v>1038</v>
      </c>
      <c r="O85" s="109" t="s">
        <v>1039</v>
      </c>
      <c r="P85" s="35" t="s">
        <v>1040</v>
      </c>
    </row>
    <row r="86" spans="2:31" ht="30" customHeight="1" x14ac:dyDescent="0.3">
      <c r="B86" s="133" t="s">
        <v>163</v>
      </c>
      <c r="C86" s="134"/>
      <c r="D86" s="124" t="str">
        <f>+VLOOKUP(B86,[1]Liste!B:E,2,FALSE)</f>
        <v>Çelik Donatı (S220 )</v>
      </c>
      <c r="E86" s="125"/>
      <c r="F86" s="125"/>
      <c r="G86" s="125"/>
      <c r="H86" s="125"/>
      <c r="I86" s="125"/>
      <c r="J86" s="125"/>
      <c r="K86" s="125"/>
      <c r="L86" s="125"/>
      <c r="M86" s="36" t="str">
        <f>+VLOOKUP(B86,[1]Liste!B:E,3,FALSE)</f>
        <v>ton</v>
      </c>
      <c r="N86" s="67">
        <v>8.6999999999999994E-2</v>
      </c>
      <c r="O86" s="67">
        <f>+P86-N86</f>
        <v>0</v>
      </c>
      <c r="P86" s="67">
        <f>+ROUND(SUM(P87:P90),3)</f>
        <v>8.6999999999999994E-2</v>
      </c>
      <c r="AA86" s="9">
        <f>+VLOOKUP(B86,[2]Liste!$B$2:$F$483,5,FALSE)</f>
        <v>46250</v>
      </c>
      <c r="AC86" s="9">
        <f>+AA86*N86</f>
        <v>4023.7499999999995</v>
      </c>
      <c r="AD86" s="9">
        <f>+AA86*O86</f>
        <v>0</v>
      </c>
      <c r="AE86" s="9">
        <f>+AA86*P86</f>
        <v>4023.7499999999995</v>
      </c>
    </row>
    <row r="87" spans="2:31" ht="15" customHeight="1" x14ac:dyDescent="0.3">
      <c r="B87" s="39" t="s">
        <v>982</v>
      </c>
      <c r="C87" s="70" t="s">
        <v>992</v>
      </c>
      <c r="D87" s="57"/>
      <c r="E87" s="57"/>
      <c r="F87" s="57"/>
      <c r="G87" s="57"/>
      <c r="H87" s="57" t="s">
        <v>13</v>
      </c>
      <c r="I87" s="70"/>
      <c r="J87" s="70"/>
      <c r="K87" s="39" t="s">
        <v>988</v>
      </c>
      <c r="L87" s="79" t="s">
        <v>1004</v>
      </c>
      <c r="M87" s="85"/>
      <c r="N87" s="70" t="s">
        <v>993</v>
      </c>
      <c r="O87" s="75" t="s">
        <v>985</v>
      </c>
      <c r="P87" s="40" t="s">
        <v>15</v>
      </c>
    </row>
    <row r="88" spans="2:31" ht="15" customHeight="1" x14ac:dyDescent="0.3">
      <c r="B88" s="37">
        <v>5</v>
      </c>
      <c r="C88" s="100" t="s">
        <v>1034</v>
      </c>
      <c r="D88" s="101"/>
      <c r="E88" s="101"/>
      <c r="F88" s="58"/>
      <c r="G88" s="58"/>
      <c r="H88" s="58" t="s">
        <v>1035</v>
      </c>
      <c r="I88" s="71"/>
      <c r="J88" s="71"/>
      <c r="K88" s="37">
        <v>8</v>
      </c>
      <c r="L88" s="97">
        <v>2</v>
      </c>
      <c r="M88" s="86"/>
      <c r="N88" s="113">
        <v>1.208</v>
      </c>
      <c r="O88" s="78">
        <v>0.7</v>
      </c>
      <c r="P88" s="59">
        <f>+ROUND(PRODUCT(K88:O88)/1000,3)</f>
        <v>1.4E-2</v>
      </c>
      <c r="S88" s="92"/>
    </row>
    <row r="89" spans="2:31" ht="15" customHeight="1" x14ac:dyDescent="0.3">
      <c r="B89" s="37">
        <v>5</v>
      </c>
      <c r="C89" s="100" t="s">
        <v>1034</v>
      </c>
      <c r="D89" s="101"/>
      <c r="E89" s="101"/>
      <c r="F89" s="58"/>
      <c r="G89" s="58"/>
      <c r="H89" s="58" t="s">
        <v>1035</v>
      </c>
      <c r="I89" s="71"/>
      <c r="J89" s="71"/>
      <c r="K89" s="37">
        <v>8</v>
      </c>
      <c r="L89" s="97">
        <v>8</v>
      </c>
      <c r="M89" s="86"/>
      <c r="N89" s="113">
        <v>1.208</v>
      </c>
      <c r="O89" s="78">
        <v>0.95</v>
      </c>
      <c r="P89" s="59">
        <f>+ROUND(PRODUCT(K89:O89)/1000,3)</f>
        <v>7.2999999999999995E-2</v>
      </c>
      <c r="S89" s="92"/>
    </row>
    <row r="90" spans="2:31" ht="4.95" customHeight="1" x14ac:dyDescent="0.3">
      <c r="B90" s="41"/>
      <c r="C90" s="44"/>
      <c r="D90" s="42"/>
      <c r="E90" s="42"/>
      <c r="F90" s="42"/>
      <c r="G90" s="42"/>
      <c r="H90" s="43"/>
      <c r="I90" s="43"/>
      <c r="J90" s="43"/>
      <c r="K90" s="43"/>
      <c r="L90" s="43"/>
      <c r="M90" s="43"/>
      <c r="N90" s="43"/>
      <c r="O90" s="44"/>
      <c r="P90" s="45"/>
    </row>
    <row r="91" spans="2:31" ht="19.95" customHeight="1" x14ac:dyDescent="0.3">
      <c r="C91" s="30"/>
      <c r="D91" s="33"/>
      <c r="E91" s="33"/>
      <c r="F91" s="33"/>
      <c r="G91" s="33"/>
      <c r="H91" s="12"/>
      <c r="I91" s="12"/>
      <c r="J91" s="12"/>
      <c r="K91" s="12"/>
      <c r="L91" s="12"/>
      <c r="M91" s="12"/>
      <c r="N91" s="12"/>
      <c r="O91" s="30"/>
    </row>
    <row r="92" spans="2:31" ht="30" hidden="1" customHeight="1" x14ac:dyDescent="0.3">
      <c r="B92" s="129" t="s">
        <v>7</v>
      </c>
      <c r="C92" s="131"/>
      <c r="D92" s="129" t="s">
        <v>8</v>
      </c>
      <c r="E92" s="130"/>
      <c r="F92" s="130"/>
      <c r="G92" s="130"/>
      <c r="H92" s="130"/>
      <c r="I92" s="130"/>
      <c r="J92" s="130"/>
      <c r="K92" s="130"/>
      <c r="L92" s="130"/>
      <c r="M92" s="130"/>
      <c r="N92" s="131"/>
      <c r="O92" s="34" t="s">
        <v>9</v>
      </c>
      <c r="P92" s="35" t="s">
        <v>10</v>
      </c>
    </row>
    <row r="93" spans="2:31" ht="30" hidden="1" customHeight="1" x14ac:dyDescent="0.3">
      <c r="B93" s="133" t="s">
        <v>165</v>
      </c>
      <c r="C93" s="134"/>
      <c r="D93" s="124" t="str">
        <f>+VLOOKUP(B93,Liste!B:E,2,FALSE)</f>
        <v>Çelik Donatı (S420a )</v>
      </c>
      <c r="E93" s="125"/>
      <c r="F93" s="125"/>
      <c r="G93" s="125"/>
      <c r="H93" s="125"/>
      <c r="I93" s="125"/>
      <c r="J93" s="125"/>
      <c r="K93" s="125"/>
      <c r="L93" s="125"/>
      <c r="M93" s="125"/>
      <c r="N93" s="132"/>
      <c r="O93" s="36" t="str">
        <f>+VLOOKUP(B93,Liste!B:E,3,FALSE)</f>
        <v>ton</v>
      </c>
      <c r="P93" s="67">
        <f>+ROUND(SUM(P94:P97),3)</f>
        <v>0</v>
      </c>
    </row>
    <row r="94" spans="2:31" ht="15" hidden="1" customHeight="1" x14ac:dyDescent="0.3">
      <c r="B94" s="56" t="s">
        <v>1006</v>
      </c>
      <c r="C94" s="93"/>
      <c r="D94" s="50"/>
      <c r="E94" s="50"/>
      <c r="F94" s="50"/>
      <c r="G94" s="50"/>
      <c r="H94" s="51"/>
      <c r="I94" s="51"/>
      <c r="J94" s="51"/>
      <c r="K94" s="52"/>
      <c r="L94" s="52"/>
      <c r="M94" s="53"/>
      <c r="N94" s="53"/>
      <c r="O94" s="54"/>
      <c r="P94" s="55"/>
      <c r="S94" s="92"/>
    </row>
    <row r="95" spans="2:31" ht="15" hidden="1" customHeight="1" x14ac:dyDescent="0.3">
      <c r="B95" s="39" t="s">
        <v>982</v>
      </c>
      <c r="C95" s="39" t="s">
        <v>990</v>
      </c>
      <c r="D95" s="57" t="s">
        <v>989</v>
      </c>
      <c r="E95" s="57"/>
      <c r="F95" s="57"/>
      <c r="G95" s="57"/>
      <c r="H95" s="70"/>
      <c r="I95" s="70"/>
      <c r="J95" s="70"/>
      <c r="K95" s="39" t="s">
        <v>988</v>
      </c>
      <c r="L95" s="79" t="s">
        <v>13</v>
      </c>
      <c r="M95" s="85"/>
      <c r="N95" s="70" t="s">
        <v>993</v>
      </c>
      <c r="O95" s="75" t="s">
        <v>985</v>
      </c>
      <c r="P95" s="40" t="s">
        <v>15</v>
      </c>
      <c r="S95" s="92"/>
    </row>
    <row r="96" spans="2:31" ht="15" hidden="1" customHeight="1" x14ac:dyDescent="0.3">
      <c r="B96" s="63">
        <v>3</v>
      </c>
      <c r="C96" s="60" t="s">
        <v>1031</v>
      </c>
      <c r="D96" s="61" t="s">
        <v>1032</v>
      </c>
      <c r="E96" s="61"/>
      <c r="F96" s="61"/>
      <c r="G96" s="61"/>
      <c r="H96" s="65"/>
      <c r="I96" s="65"/>
      <c r="J96" s="65"/>
      <c r="K96" s="63">
        <v>0</v>
      </c>
      <c r="L96" s="82" t="s">
        <v>1037</v>
      </c>
      <c r="M96" s="104"/>
      <c r="N96" s="105">
        <v>0.88800000000000001</v>
      </c>
      <c r="O96" s="106">
        <v>1.7</v>
      </c>
      <c r="P96" s="99">
        <f>+ROUND(PRODUCT(K96:O96)/1000,3)</f>
        <v>0</v>
      </c>
      <c r="S96" s="92"/>
    </row>
    <row r="97" spans="2:31" ht="4.95" hidden="1" customHeight="1" x14ac:dyDescent="0.3">
      <c r="B97" s="41"/>
      <c r="C97" s="44"/>
      <c r="D97" s="42"/>
      <c r="E97" s="42"/>
      <c r="F97" s="42"/>
      <c r="G97" s="42"/>
      <c r="H97" s="43"/>
      <c r="I97" s="43"/>
      <c r="J97" s="43"/>
      <c r="K97" s="43"/>
      <c r="L97" s="43"/>
      <c r="M97" s="43"/>
      <c r="N97" s="43"/>
      <c r="O97" s="44"/>
      <c r="P97" s="45"/>
    </row>
    <row r="98" spans="2:31" ht="19.95" hidden="1" customHeight="1" x14ac:dyDescent="0.3">
      <c r="C98" s="30"/>
      <c r="D98" s="33"/>
      <c r="E98" s="33"/>
      <c r="F98" s="33"/>
      <c r="G98" s="33"/>
      <c r="H98" s="12"/>
      <c r="I98" s="12"/>
      <c r="J98" s="12"/>
      <c r="K98" s="12"/>
      <c r="L98" s="12"/>
      <c r="M98" s="12"/>
      <c r="N98" s="12"/>
      <c r="O98" s="30"/>
    </row>
    <row r="99" spans="2:31" ht="30" customHeight="1" x14ac:dyDescent="0.3">
      <c r="B99" s="129" t="s">
        <v>7</v>
      </c>
      <c r="C99" s="131"/>
      <c r="D99" s="129" t="s">
        <v>8</v>
      </c>
      <c r="E99" s="130"/>
      <c r="F99" s="130"/>
      <c r="G99" s="130"/>
      <c r="H99" s="130"/>
      <c r="I99" s="130"/>
      <c r="J99" s="130"/>
      <c r="K99" s="130"/>
      <c r="L99" s="130"/>
      <c r="M99" s="34" t="s">
        <v>9</v>
      </c>
      <c r="N99" s="109" t="s">
        <v>1038</v>
      </c>
      <c r="O99" s="109" t="s">
        <v>1039</v>
      </c>
      <c r="P99" s="35" t="s">
        <v>1040</v>
      </c>
    </row>
    <row r="100" spans="2:31" ht="30" customHeight="1" x14ac:dyDescent="0.3">
      <c r="B100" s="133" t="s">
        <v>167</v>
      </c>
      <c r="C100" s="134"/>
      <c r="D100" s="124" t="str">
        <f>+VLOOKUP(B100,[1]Liste!B:E,2,FALSE)</f>
        <v>Çelik hasır (S500 )</v>
      </c>
      <c r="E100" s="125"/>
      <c r="F100" s="125"/>
      <c r="G100" s="125"/>
      <c r="H100" s="125"/>
      <c r="I100" s="125"/>
      <c r="J100" s="125"/>
      <c r="K100" s="125"/>
      <c r="L100" s="125"/>
      <c r="M100" s="36" t="str">
        <f>+VLOOKUP(B100,[1]Liste!B:E,3,FALSE)</f>
        <v>ton</v>
      </c>
      <c r="N100" s="67">
        <v>0.97</v>
      </c>
      <c r="O100" s="67">
        <f>+P100-N100</f>
        <v>0</v>
      </c>
      <c r="P100" s="67">
        <f>+ROUND(SUM(P101:P107),3)</f>
        <v>0.97</v>
      </c>
      <c r="AA100" s="9">
        <f>+VLOOKUP(B100,[2]Liste!$B$2:$F$483,5,FALSE)</f>
        <v>97333</v>
      </c>
      <c r="AC100" s="9">
        <f>+AA100*N100</f>
        <v>94413.01</v>
      </c>
      <c r="AD100" s="9">
        <f>+AA100*O100</f>
        <v>0</v>
      </c>
      <c r="AE100" s="9">
        <f>+AA100*P100</f>
        <v>94413.01</v>
      </c>
    </row>
    <row r="101" spans="2:31" ht="15" customHeight="1" x14ac:dyDescent="0.3">
      <c r="B101" s="56" t="s">
        <v>1044</v>
      </c>
      <c r="C101" s="93"/>
      <c r="D101" s="50"/>
      <c r="E101" s="50"/>
      <c r="F101" s="50"/>
      <c r="G101" s="50"/>
      <c r="H101" s="51"/>
      <c r="I101" s="51"/>
      <c r="J101" s="51"/>
      <c r="K101" s="52"/>
      <c r="L101" s="52"/>
      <c r="M101" s="53"/>
      <c r="N101" s="53"/>
      <c r="O101" s="54"/>
      <c r="P101" s="55"/>
    </row>
    <row r="102" spans="2:31" ht="15" customHeight="1" x14ac:dyDescent="0.3">
      <c r="B102" s="39" t="s">
        <v>982</v>
      </c>
      <c r="C102" s="39" t="s">
        <v>990</v>
      </c>
      <c r="D102" s="57" t="s">
        <v>989</v>
      </c>
      <c r="E102" s="57"/>
      <c r="F102" s="57"/>
      <c r="G102" s="57"/>
      <c r="H102" s="39" t="s">
        <v>987</v>
      </c>
      <c r="I102" s="39" t="s">
        <v>986</v>
      </c>
      <c r="J102" s="39" t="s">
        <v>991</v>
      </c>
      <c r="K102" s="39" t="s">
        <v>988</v>
      </c>
      <c r="L102" s="72"/>
      <c r="M102" s="74" t="s">
        <v>985</v>
      </c>
      <c r="N102" s="75"/>
      <c r="O102" s="40" t="s">
        <v>1008</v>
      </c>
      <c r="P102" s="40" t="s">
        <v>15</v>
      </c>
    </row>
    <row r="103" spans="2:31" ht="15" customHeight="1" x14ac:dyDescent="0.3">
      <c r="B103" s="37">
        <v>4</v>
      </c>
      <c r="C103" s="48" t="s">
        <v>1048</v>
      </c>
      <c r="D103" s="58" t="s">
        <v>1049</v>
      </c>
      <c r="E103" s="58"/>
      <c r="F103" s="58"/>
      <c r="G103" s="58"/>
      <c r="H103" s="49">
        <v>5.41</v>
      </c>
      <c r="I103" s="49">
        <v>12.41</v>
      </c>
      <c r="J103" s="49" t="s">
        <v>1043</v>
      </c>
      <c r="K103" s="63">
        <v>1</v>
      </c>
      <c r="L103" s="110"/>
      <c r="M103" s="111">
        <f>+I103-H103</f>
        <v>7</v>
      </c>
      <c r="N103" s="112"/>
      <c r="O103" s="89">
        <f>90.609/0.75</f>
        <v>120.812</v>
      </c>
      <c r="P103" s="68">
        <f>+ROUND(PRODUCT(K103:O103)/1000,3)</f>
        <v>0.84599999999999997</v>
      </c>
    </row>
    <row r="104" spans="2:31" ht="10.199999999999999" customHeight="1" x14ac:dyDescent="0.3">
      <c r="B104" s="56" t="s">
        <v>1002</v>
      </c>
      <c r="C104" s="93"/>
      <c r="D104" s="50"/>
      <c r="E104" s="50"/>
      <c r="F104" s="50"/>
      <c r="G104" s="50"/>
      <c r="H104" s="51"/>
      <c r="I104" s="51"/>
      <c r="J104" s="51"/>
      <c r="K104" s="52"/>
      <c r="L104" s="52"/>
      <c r="M104" s="53"/>
      <c r="N104" s="53"/>
      <c r="O104" s="54"/>
      <c r="P104" s="55"/>
    </row>
    <row r="105" spans="2:31" ht="60" customHeight="1" x14ac:dyDescent="0.3">
      <c r="B105" s="39" t="s">
        <v>982</v>
      </c>
      <c r="C105" s="39" t="s">
        <v>990</v>
      </c>
      <c r="D105" s="57" t="s">
        <v>994</v>
      </c>
      <c r="E105" s="57"/>
      <c r="F105" s="57"/>
      <c r="G105" s="57"/>
      <c r="H105" s="66"/>
      <c r="I105" s="70"/>
      <c r="J105" s="39" t="s">
        <v>991</v>
      </c>
      <c r="K105" s="39" t="s">
        <v>988</v>
      </c>
      <c r="L105" s="39" t="s">
        <v>1001</v>
      </c>
      <c r="M105" s="40" t="s">
        <v>984</v>
      </c>
      <c r="N105" s="40" t="s">
        <v>1003</v>
      </c>
      <c r="O105" s="40" t="s">
        <v>1012</v>
      </c>
      <c r="P105" s="40" t="s">
        <v>15</v>
      </c>
    </row>
    <row r="106" spans="2:31" ht="30" customHeight="1" x14ac:dyDescent="0.3">
      <c r="B106" s="63">
        <v>4</v>
      </c>
      <c r="C106" s="60" t="s">
        <v>1048</v>
      </c>
      <c r="D106" s="126" t="s">
        <v>1033</v>
      </c>
      <c r="E106" s="127"/>
      <c r="F106" s="127"/>
      <c r="G106" s="127"/>
      <c r="H106" s="127"/>
      <c r="I106" s="128"/>
      <c r="J106" s="62" t="s">
        <v>1043</v>
      </c>
      <c r="K106" s="63">
        <v>1</v>
      </c>
      <c r="L106" s="63" t="s">
        <v>1045</v>
      </c>
      <c r="M106" s="64"/>
      <c r="N106" s="91">
        <v>0.16</v>
      </c>
      <c r="O106" s="89">
        <v>775.05</v>
      </c>
      <c r="P106" s="68">
        <f t="shared" ref="P106" si="10">+ROUND(PRODUCT(M106:O106)*K106/1000,3)</f>
        <v>0.124</v>
      </c>
    </row>
    <row r="107" spans="2:31" ht="4.95" customHeight="1" x14ac:dyDescent="0.3">
      <c r="B107" s="41"/>
      <c r="C107" s="44"/>
      <c r="D107" s="42"/>
      <c r="E107" s="42"/>
      <c r="F107" s="42"/>
      <c r="G107" s="42"/>
      <c r="H107" s="43"/>
      <c r="I107" s="43"/>
      <c r="J107" s="43"/>
      <c r="K107" s="43"/>
      <c r="L107" s="43"/>
      <c r="M107" s="43"/>
      <c r="N107" s="43"/>
      <c r="O107" s="44"/>
      <c r="P107" s="45"/>
    </row>
    <row r="108" spans="2:31" ht="15" customHeight="1" x14ac:dyDescent="0.3">
      <c r="C108" s="30"/>
      <c r="D108" s="33"/>
      <c r="E108" s="33"/>
      <c r="F108" s="33"/>
      <c r="G108" s="33"/>
      <c r="H108" s="12"/>
      <c r="I108" s="12"/>
      <c r="J108" s="12"/>
      <c r="K108" s="12"/>
      <c r="L108" s="12"/>
      <c r="M108" s="12"/>
      <c r="N108" s="12"/>
      <c r="O108" s="30"/>
    </row>
  </sheetData>
  <mergeCells count="48">
    <mergeCell ref="B99:C99"/>
    <mergeCell ref="B100:C100"/>
    <mergeCell ref="B67:C67"/>
    <mergeCell ref="B31:C31"/>
    <mergeCell ref="D16:L16"/>
    <mergeCell ref="D17:L17"/>
    <mergeCell ref="D30:L30"/>
    <mergeCell ref="D31:L31"/>
    <mergeCell ref="D48:L48"/>
    <mergeCell ref="D49:L49"/>
    <mergeCell ref="D61:L61"/>
    <mergeCell ref="D62:L62"/>
    <mergeCell ref="D67:L67"/>
    <mergeCell ref="D68:L68"/>
    <mergeCell ref="D79:L79"/>
    <mergeCell ref="D80:L80"/>
    <mergeCell ref="B48:C48"/>
    <mergeCell ref="B49:C49"/>
    <mergeCell ref="B62:C62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30:C30"/>
    <mergeCell ref="B54:C54"/>
    <mergeCell ref="D54:L54"/>
    <mergeCell ref="B55:C55"/>
    <mergeCell ref="B80:C80"/>
    <mergeCell ref="B61:C61"/>
    <mergeCell ref="B93:C93"/>
    <mergeCell ref="B92:C92"/>
    <mergeCell ref="B86:C86"/>
    <mergeCell ref="B85:C85"/>
    <mergeCell ref="B79:C79"/>
    <mergeCell ref="B68:C68"/>
    <mergeCell ref="D55:L55"/>
    <mergeCell ref="D106:I106"/>
    <mergeCell ref="D92:N92"/>
    <mergeCell ref="D93:N93"/>
    <mergeCell ref="D85:L85"/>
    <mergeCell ref="D86:L86"/>
    <mergeCell ref="D99:L99"/>
    <mergeCell ref="D100:L100"/>
  </mergeCells>
  <phoneticPr fontId="12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91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83.763999999999996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>0</v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>0</v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21.931999999999999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>0</v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>0</v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>0</v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>0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>0</v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0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44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>0</v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4.383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0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>0</v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>0</v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>0</v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>0</v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>0</v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>0</v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>0</v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>0</v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>0</v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>0</v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8.6999999999999994E-2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0.97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>0</v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>0</v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2">
        <f>+SUMPRODUCT(F50:F79,H50:H79)</f>
        <v>2538910.3479999998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2026-05-20T07:48:04Z</cp:lastPrinted>
  <dcterms:created xsi:type="dcterms:W3CDTF">2015-06-05T18:19:34Z</dcterms:created>
  <dcterms:modified xsi:type="dcterms:W3CDTF">2026-05-20T07:48:09Z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